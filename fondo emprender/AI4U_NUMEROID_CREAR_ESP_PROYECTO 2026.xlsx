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lockWindows="false"/>
  <bookViews>
    <workbookView showHorizontalScroll="true" showVerticalScroll="true" showSheetTabs="true" xWindow="0" yWindow="0" windowWidth="16384" windowHeight="8192" tabRatio="500" firstSheet="4" activeTab="5"/>
  </bookViews>
  <sheets>
    <sheet name="Dep-Mun" sheetId="1" state="hidden" r:id="rId3"/>
    <sheet name="TIPO PN" sheetId="2" state="hidden" r:id="rId4"/>
    <sheet name="Sectores EC" sheetId="3" state="hidden" r:id="rId5"/>
    <sheet name="Sectores EP" sheetId="4" state="hidden" r:id="rId6"/>
    <sheet name="Instrucciones" sheetId="5" state="visible" r:id="rId7"/>
    <sheet name="Proyecto" sheetId="6" state="visible" r:id="rId8"/>
    <sheet name="Topes Montos" sheetId="7" state="hidden" r:id="rId9"/>
    <sheet name="Integrantes Iniciativa" sheetId="8" state="visible" r:id="rId10"/>
    <sheet name="Modelo Financiero" sheetId="9" state="visible" r:id="rId11"/>
    <sheet name="Resumen" sheetId="10" state="visible" r:id="rId12"/>
    <sheet name="Hoja2" sheetId="11" state="hidden" r:id="rId13"/>
  </sheets>
  <externalReferences>
    <externalReference r:id="rId14"/>
  </externalReferences>
  <definedNames>
    <definedName function="false" hidden="false" localSheetId="4" name="_xlnm.Print_Titles" vbProcedure="false">Instrucciones!$1:$4</definedName>
    <definedName function="false" hidden="false" localSheetId="7" name="_xlnm.Print_Titles" vbProcedure="false">'Integrantes Iniciativa'!$12:$16</definedName>
    <definedName function="false" hidden="false" localSheetId="5" name="_xlnm.Print_Area" vbProcedure="false">Proyecto!$A$1:$AX$606</definedName>
    <definedName function="false" hidden="false" name="ACTIVIDADES_ARTÍSTICAS_DE_ENTRETENIMIENTO_Y_RECREACIÓN" vbProcedure="false">'Sectores EP'!$R$2:$R$18</definedName>
    <definedName function="false" hidden="false" name="ACTIVIDADES_DE_ATENCIÓN_DE_LA_SALUD_HUMANA_Y_DE_ASISTENCIA_SOCIAL" vbProcedure="false">'Sectores EP'!$Q$2:$Q$13</definedName>
    <definedName function="false" hidden="false" name="ACTIVIDADES_DE_SERVICIOS_ADMINISTRATIVOS_Y_DE_APOYO" vbProcedure="false">'Sectores EP'!$N$2:$N$27</definedName>
    <definedName function="false" hidden="false" name="ACTIVIDADES_FINANCIERAS_Y_DE_SEGUROS" vbProcedure="false">'Sectores EP'!$K$2:$K$32</definedName>
    <definedName function="false" hidden="false" name="ACTIVIDADES_INMOBILIARIAS" vbProcedure="false">'Sectores EP'!$L$2:$L$3</definedName>
    <definedName function="false" hidden="false" name="ACTIVIDADES_PROFESIONALES_CIENTÍFICAS_Y_TÉCNICAS" vbProcedure="false">'Sectores EP'!$M$2:$M$15</definedName>
    <definedName function="false" hidden="false" name="ADMINISTRACIÓN_PÚBLICA_Y_DEFENSA_PLANES_DE_SEGURIDAD_SOCIAL_DE_AFILIACIÓN_OBLIGATORIA" vbProcedure="false">'Sectores EP'!$O$2:$O$11</definedName>
    <definedName function="false" hidden="false" name="AGRICULTURA_GANADERÍA_CAZA_SILVICULTURA_Y_PESCA" vbProcedure="false">'Sectores EP'!$A$2:$A$37</definedName>
    <definedName function="false" hidden="false" name="Agroindustria" vbProcedure="false">'Sectores EC'!$B$2:$B$22</definedName>
    <definedName function="false" hidden="false" name="Agropecuario" vbProcedure="false">'Sectores EC'!$A$2:$A$37</definedName>
    <definedName function="false" hidden="false" name="ALOJAMIENTO_Y_SERVICIOS_DE_COMIDA" vbProcedure="false">'Sectores EP'!$I$2:$I$16</definedName>
    <definedName function="false" hidden="false" name="Amazonas" vbProcedure="false">'Dep-Mun'!$A$2:$A$12</definedName>
    <definedName function="false" hidden="false" name="Antioquia" vbProcedure="false">'Dep-Mun'!$B$2:$B$126</definedName>
    <definedName function="false" hidden="false" name="Arauca" vbProcedure="false">'Dep-Mun'!$C$2:$C$8</definedName>
    <definedName function="false" hidden="false" name="Archipiélago_De_San_Andrés" vbProcedure="false">'Dep-Mun'!$D$2:$D$3</definedName>
    <definedName function="false" hidden="false" name="Artesanías" vbProcedure="false">'Sectores EC'!$C$2:$C$22</definedName>
    <definedName function="false" hidden="false" name="Atlántico" vbProcedure="false">'Dep-Mun'!$E$2:$E$24</definedName>
    <definedName function="false" hidden="false" name="Bogotá_D_C_" vbProcedure="false">'Dep-Mun'!$F$2</definedName>
    <definedName function="false" hidden="false" name="Bolívar" vbProcedure="false">'Dep-Mun'!$G$2:$G$47</definedName>
    <definedName function="false" hidden="false" name="Boyacá" vbProcedure="false">'Dep-Mun'!$H$2:$H$124</definedName>
    <definedName function="false" hidden="false" name="Caldas" vbProcedure="false">'Dep-Mun'!$I$2:$I$28</definedName>
    <definedName function="false" hidden="false" name="Caquetá" vbProcedure="false">'Dep-Mun'!$J$2:$J$17</definedName>
    <definedName function="false" hidden="false" name="CARACTERIZACION" vbProcedure="false">Hoja2!$F$7:$F$34</definedName>
    <definedName function="false" hidden="false" name="Casanare" vbProcedure="false">'Dep-Mun'!$K$2:$K$20</definedName>
    <definedName function="false" hidden="false" name="Cauca" vbProcedure="false">'Dep-Mun'!$L$2:$L$43</definedName>
    <definedName function="false" hidden="false" name="Cesar" vbProcedure="false">'Dep-Mun'!$M$2:$M$26</definedName>
    <definedName function="false" hidden="false" name="Chocó" vbProcedure="false">'Dep-Mun'!$N$2:$N$32</definedName>
    <definedName function="false" hidden="false" name="COMERCIO_AL_POR_MAYOR_Y_AL_POR_MENOR_REPARACIÓN_DE_VEHÍCULOS_AUTOMOTORES_Y_MOTOCICLETAS" vbProcedure="false">'Sectores EP'!$G$2:$G$59</definedName>
    <definedName function="false" hidden="false" name="COMERCIO_EC" vbProcedure="false">'Sectores EC'!$F$2:$F$8</definedName>
    <definedName function="false" hidden="false" name="CONSTRUCCIÓN" vbProcedure="false">'Sectores EP'!$F$2:$F$13</definedName>
    <definedName function="false" hidden="false" name="Cundinamarca" vbProcedure="false">'Dep-Mun'!$P$2:$P$117</definedName>
    <definedName function="false" hidden="false" name="Córdoba" vbProcedure="false">'Dep-Mun'!$O$2:$O$31</definedName>
    <definedName function="false" hidden="false" name="DEPARTAMENTOS" vbProcedure="false">'Dep-Mun'!$A$1:$AG$1</definedName>
    <definedName function="false" hidden="false" name="DISTRIBUCIÓN_DE_AGUA_EVACUACIÓN_Y_TRATAMIENTO_DE_AGUAS_RESIDUALES_GESTIÓN_DE_DESECHOS_Y_ACTIVIDADES_DE_SANEAMIENTO_AMBIENTAL" vbProcedure="false">'Sectores EP'!$E$2:$E$9</definedName>
    <definedName function="false" hidden="false" name="DOCUMENTO" vbProcedure="false">Hoja2!$C$3:$C$4</definedName>
    <definedName function="false" hidden="false" name="ECONOMÍA_CAMPESINA" vbProcedure="false">'TIPO PN'!$A$9:$A$14</definedName>
    <definedName function="false" hidden="false" name="EDUCACIÓN" vbProcedure="false">'Sectores EP'!$P$2:$P$17</definedName>
    <definedName function="false" hidden="false" name="EXPLOTACIÓN_DE_MINAS_Y_CANTERAS" vbProcedure="false">'Sectores EP'!$B$2:$B$18</definedName>
    <definedName function="false" hidden="false" name="GENERO" vbProcedure="false">Hoja2!$B$6:$B$9</definedName>
    <definedName function="false" hidden="false" name="Guainía" vbProcedure="false">'Dep-Mun'!$Q$2:$Q$9</definedName>
    <definedName function="false" hidden="false" name="Guaviare" vbProcedure="false">'Dep-Mun'!$R$2:$R$5</definedName>
    <definedName function="false" hidden="false" name="Huila" vbProcedure="false">'Dep-Mun'!$S$2:$S$38</definedName>
    <definedName function="false" hidden="false" name="INDUSTRIAS_MANUFACTURERAS" vbProcedure="false">'Sectores EP'!$C$2:$C$150</definedName>
    <definedName function="false" hidden="false" name="INFORMACIÓN_Y_COMUNICACIONES" vbProcedure="false">'Sectores EP'!$J$2:$J$24</definedName>
    <definedName function="false" hidden="false" name="La_Guajira" vbProcedure="false">'Dep-Mun'!$T$2:$T$16</definedName>
    <definedName function="false" hidden="false" name="Magdalena" vbProcedure="false">'Dep-Mun'!$U$2:$U$31</definedName>
    <definedName function="false" hidden="false" name="Medio_Ambiente" vbProcedure="false">'Sectores EC'!$E$2:$E$8</definedName>
    <definedName function="false" hidden="false" name="Meta" vbProcedure="false">'Dep-Mun'!$V$2:$V$30</definedName>
    <definedName function="false" hidden="false" name="Nariño" vbProcedure="false">'Dep-Mun'!$W$2:$W$65</definedName>
    <definedName function="false" hidden="false" name="Norte_De_Santander" vbProcedure="false">'Dep-Mun'!$X$2:$X$41</definedName>
    <definedName function="false" hidden="false" name="OTRAS_ACTIVIDADES_DE_SERVICIOS" vbProcedure="false">'Sectores EP'!$S$2:$S$19</definedName>
    <definedName function="false" hidden="false" name="Putumayo" vbProcedure="false">'Dep-Mun'!$Y$2:$Y$14</definedName>
    <definedName function="false" hidden="false" name="Quindío" vbProcedure="false">'Dep-Mun'!$Z$2:$Z$13</definedName>
    <definedName function="false" hidden="false" name="Risaralda" vbProcedure="false">'Dep-Mun'!$AA$2:$AA$15</definedName>
    <definedName function="false" hidden="false" name="ROL" vbProcedure="false">Hoja2!$B$11:$B$15</definedName>
    <definedName function="false" hidden="false" name="Santander" vbProcedure="false">'Dep-Mun'!$AB$2:$AB$88</definedName>
    <definedName function="false" hidden="false" name="SECTORES" vbProcedure="false">'Sectores EP'!$A$1:$S$1</definedName>
    <definedName function="false" hidden="false" name="Sucre" vbProcedure="false">'Dep-Mun'!$AC$2:$AC$27</definedName>
    <definedName function="false" hidden="false" name="SUMINISTRO_DE_ELECTRICIDAD_GAS_VAPOR_Y_AIRE_ACONDICIONADO" vbProcedure="false">'Sectores EP'!$D$2:$D$7</definedName>
    <definedName function="false" hidden="false" name="TIPO_PN" vbProcedure="false">'TIPO PN'!$A$8:$B$8</definedName>
    <definedName function="false" hidden="false" name="TODOS_LOS_SECTORES" vbProcedure="false">'TIPO PN'!$B$9:$B$27</definedName>
    <definedName function="false" hidden="false" name="Tolima" vbProcedure="false">'Dep-Mun'!$AD$2:$AD$48</definedName>
    <definedName function="false" hidden="false" name="TRANSPORTE_Y_ALMACENAMIENTO" vbProcedure="false">'Sectores EP'!$H$2:$H$23</definedName>
    <definedName function="false" hidden="false" name="Turismo" vbProcedure="false">'Sectores EC'!$D$2:$D$11</definedName>
    <definedName function="false" hidden="false" name="Valle_Del_Cauca" vbProcedure="false">'Dep-Mun'!$AE$2:$AE$43</definedName>
    <definedName function="false" hidden="false" name="Vaupés" vbProcedure="false">'Dep-Mun'!$AF$2:$AF$7</definedName>
    <definedName function="false" hidden="false" name="Vichada" vbProcedure="false">'Dep-Mun'!$AG$2:$AG$5</definedName>
    <definedName function="false" hidden="false" name="VINCULACION" vbProcedure="false">Hoja2!$B$18:$B$22</definedName>
    <definedName function="false" hidden="false" name="_xleta_NOT" vbProcedure="false"/>
    <definedName function="false" hidden="false" name="_xleta_T" vbProcedure="false"/>
    <definedName function="false" hidden="false" name="_xleta_TEXT" vbProcedure="false"/>
    <definedName function="false" hidden="false" name="_xlfn_AGGREGATE" vbProcedure="false"/>
    <definedName function="false" hidden="false" name="_xlfn_IFERROR" vbProcedure="false"/>
    <definedName function="false" hidden="false" name="_xlfn_IFS" vbProcedure="false"/>
    <definedName function="false" hidden="false" localSheetId="2" name="Artesanías" vbProcedure="false">'Sectores EC'!$C$2:$C$22</definedName>
    <definedName function="false" hidden="false" localSheetId="2" name="DEPARTAMENTOS" vbProcedure="false">'[1]Dep-Mun'!$A$1:$AG$1</definedName>
    <definedName function="false" hidden="false" localSheetId="2" name="SECTORES" vbProcedure="false">'Sectores EC'!$A$1:$F$1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<sst xmlns="http://schemas.openxmlformats.org/spreadsheetml/2006/main" count="2772" uniqueCount="2170">
  <si>
    <t xml:space="preserve">Amazonas</t>
  </si>
  <si>
    <t xml:space="preserve">Antioquia</t>
  </si>
  <si>
    <t xml:space="preserve">Arauca</t>
  </si>
  <si>
    <t xml:space="preserve">Archipiélago_De_San_Andrés</t>
  </si>
  <si>
    <t xml:space="preserve">Atlántico</t>
  </si>
  <si>
    <t xml:space="preserve">Bogotá_D.C.</t>
  </si>
  <si>
    <t xml:space="preserve">Bolívar</t>
  </si>
  <si>
    <t xml:space="preserve">Boyacá</t>
  </si>
  <si>
    <t xml:space="preserve">Caldas</t>
  </si>
  <si>
    <t xml:space="preserve">Caquetá</t>
  </si>
  <si>
    <t xml:space="preserve">Casanare</t>
  </si>
  <si>
    <t xml:space="preserve">Cauca</t>
  </si>
  <si>
    <t xml:space="preserve">Cesar</t>
  </si>
  <si>
    <t xml:space="preserve">Chocó</t>
  </si>
  <si>
    <t xml:space="preserve">Córdoba</t>
  </si>
  <si>
    <t xml:space="preserve">Cundinamarca</t>
  </si>
  <si>
    <t xml:space="preserve">Guainía</t>
  </si>
  <si>
    <t xml:space="preserve">Guaviare</t>
  </si>
  <si>
    <t xml:space="preserve">Huila</t>
  </si>
  <si>
    <t xml:space="preserve">La_Guajira</t>
  </si>
  <si>
    <t xml:space="preserve">Magdalena</t>
  </si>
  <si>
    <t xml:space="preserve">Meta</t>
  </si>
  <si>
    <t xml:space="preserve">Nariño</t>
  </si>
  <si>
    <t xml:space="preserve">Norte_De_Santander</t>
  </si>
  <si>
    <t xml:space="preserve">Putumayo</t>
  </si>
  <si>
    <t xml:space="preserve">Quindío</t>
  </si>
  <si>
    <t xml:space="preserve">Risaralda</t>
  </si>
  <si>
    <t xml:space="preserve">Santander</t>
  </si>
  <si>
    <t xml:space="preserve">Sucre</t>
  </si>
  <si>
    <t xml:space="preserve">Tolima</t>
  </si>
  <si>
    <t xml:space="preserve">Valle_Del_Cauca</t>
  </si>
  <si>
    <t xml:space="preserve">Vaupés</t>
  </si>
  <si>
    <t xml:space="preserve">Vichada</t>
  </si>
  <si>
    <t xml:space="preserve">El Encanto</t>
  </si>
  <si>
    <t xml:space="preserve">Medellín</t>
  </si>
  <si>
    <t xml:space="preserve">San Andrés</t>
  </si>
  <si>
    <t xml:space="preserve">Barranquilla</t>
  </si>
  <si>
    <t xml:space="preserve">Bogotá, D.C.</t>
  </si>
  <si>
    <t xml:space="preserve">Cartagena De Indias</t>
  </si>
  <si>
    <t xml:space="preserve">Tunja</t>
  </si>
  <si>
    <t xml:space="preserve">Manizales</t>
  </si>
  <si>
    <t xml:space="preserve">Florencia</t>
  </si>
  <si>
    <t xml:space="preserve">Yopal</t>
  </si>
  <si>
    <t xml:space="preserve">Popayán</t>
  </si>
  <si>
    <t xml:space="preserve">Valledupar</t>
  </si>
  <si>
    <t xml:space="preserve">Quibdó</t>
  </si>
  <si>
    <t xml:space="preserve">Montería</t>
  </si>
  <si>
    <t xml:space="preserve">Agua De Dios</t>
  </si>
  <si>
    <t xml:space="preserve">San Felipe</t>
  </si>
  <si>
    <t xml:space="preserve">San José Del Guaviare</t>
  </si>
  <si>
    <t xml:space="preserve">Neiva</t>
  </si>
  <si>
    <t xml:space="preserve">Riohacha</t>
  </si>
  <si>
    <t xml:space="preserve">Santa Marta</t>
  </si>
  <si>
    <t xml:space="preserve">Villavicencio</t>
  </si>
  <si>
    <t xml:space="preserve">Pasto</t>
  </si>
  <si>
    <t xml:space="preserve">San José De Cúcuta</t>
  </si>
  <si>
    <t xml:space="preserve">Mocoa</t>
  </si>
  <si>
    <t xml:space="preserve">Armenia</t>
  </si>
  <si>
    <t xml:space="preserve">Pereira</t>
  </si>
  <si>
    <t xml:space="preserve">Bucaramanga</t>
  </si>
  <si>
    <t xml:space="preserve">Sincelejo</t>
  </si>
  <si>
    <t xml:space="preserve">Ibagué</t>
  </si>
  <si>
    <t xml:space="preserve">Santiago De Cali</t>
  </si>
  <si>
    <t xml:space="preserve">Pacoa</t>
  </si>
  <si>
    <t xml:space="preserve">Puerto Carreño</t>
  </si>
  <si>
    <t xml:space="preserve">La Chorrera</t>
  </si>
  <si>
    <t xml:space="preserve">Abejorral</t>
  </si>
  <si>
    <t xml:space="preserve">Arauquita</t>
  </si>
  <si>
    <t xml:space="preserve">Providencia</t>
  </si>
  <si>
    <t xml:space="preserve">Baranoa</t>
  </si>
  <si>
    <t xml:space="preserve">Achí</t>
  </si>
  <si>
    <t xml:space="preserve">Almeida</t>
  </si>
  <si>
    <t xml:space="preserve">Aguadas</t>
  </si>
  <si>
    <t xml:space="preserve">Albania</t>
  </si>
  <si>
    <t xml:space="preserve">Aguazul</t>
  </si>
  <si>
    <t xml:space="preserve">Almaguer</t>
  </si>
  <si>
    <t xml:space="preserve">Aguachica</t>
  </si>
  <si>
    <t xml:space="preserve">Acandí</t>
  </si>
  <si>
    <t xml:space="preserve">Ayapel</t>
  </si>
  <si>
    <t xml:space="preserve">Albán</t>
  </si>
  <si>
    <t xml:space="preserve">Puerto Colombia</t>
  </si>
  <si>
    <t xml:space="preserve">Calamar</t>
  </si>
  <si>
    <t xml:space="preserve">Acevedo</t>
  </si>
  <si>
    <t xml:space="preserve">Algarrobo</t>
  </si>
  <si>
    <t xml:space="preserve">Acacías</t>
  </si>
  <si>
    <t xml:space="preserve">Ábrego</t>
  </si>
  <si>
    <t xml:space="preserve">Colón</t>
  </si>
  <si>
    <t xml:space="preserve">Buenavista</t>
  </si>
  <si>
    <t xml:space="preserve">Apía</t>
  </si>
  <si>
    <t xml:space="preserve">Aguada</t>
  </si>
  <si>
    <t xml:space="preserve">Alpujarra</t>
  </si>
  <si>
    <t xml:space="preserve">Alcalá</t>
  </si>
  <si>
    <t xml:space="preserve">Papunahua</t>
  </si>
  <si>
    <t xml:space="preserve">La Primavera</t>
  </si>
  <si>
    <t xml:space="preserve">La Pedrera</t>
  </si>
  <si>
    <t xml:space="preserve">Abriaquí</t>
  </si>
  <si>
    <t xml:space="preserve">Cravo Norte</t>
  </si>
  <si>
    <t xml:space="preserve">Campo De La Cruz</t>
  </si>
  <si>
    <t xml:space="preserve">Altos Del Rosario</t>
  </si>
  <si>
    <t xml:space="preserve">Aquitania</t>
  </si>
  <si>
    <t xml:space="preserve">Anserma</t>
  </si>
  <si>
    <t xml:space="preserve">Belén De Los Andaquíes</t>
  </si>
  <si>
    <t xml:space="preserve">Chámeza</t>
  </si>
  <si>
    <t xml:space="preserve">Argelia</t>
  </si>
  <si>
    <t xml:space="preserve">Agustín Codazzi</t>
  </si>
  <si>
    <t xml:space="preserve">Alto Baudó</t>
  </si>
  <si>
    <t xml:space="preserve">Anapoima</t>
  </si>
  <si>
    <t xml:space="preserve">La Guadalupe</t>
  </si>
  <si>
    <t xml:space="preserve">El Retorno</t>
  </si>
  <si>
    <t xml:space="preserve">Agrado</t>
  </si>
  <si>
    <t xml:space="preserve">Barrancas</t>
  </si>
  <si>
    <t xml:space="preserve">Aracataca</t>
  </si>
  <si>
    <t xml:space="preserve">Barranca De Upía</t>
  </si>
  <si>
    <t xml:space="preserve">Aldana</t>
  </si>
  <si>
    <t xml:space="preserve">Arboledas</t>
  </si>
  <si>
    <t xml:space="preserve">Orito</t>
  </si>
  <si>
    <t xml:space="preserve">Calarcá</t>
  </si>
  <si>
    <t xml:space="preserve">Balboa</t>
  </si>
  <si>
    <t xml:space="preserve">Caimito</t>
  </si>
  <si>
    <t xml:space="preserve">Alvarado</t>
  </si>
  <si>
    <t xml:space="preserve">Andalucía</t>
  </si>
  <si>
    <t xml:space="preserve">Yavaraté</t>
  </si>
  <si>
    <t xml:space="preserve">Santa Rosalía</t>
  </si>
  <si>
    <t xml:space="preserve">La Victoria</t>
  </si>
  <si>
    <t xml:space="preserve">Alejandría</t>
  </si>
  <si>
    <t xml:space="preserve">Fortul</t>
  </si>
  <si>
    <t xml:space="preserve">Candelaria</t>
  </si>
  <si>
    <t xml:space="preserve">Arenal</t>
  </si>
  <si>
    <t xml:space="preserve">Arcabuco</t>
  </si>
  <si>
    <t xml:space="preserve">Aranzazu</t>
  </si>
  <si>
    <t xml:space="preserve">Cartagena Del Chairá</t>
  </si>
  <si>
    <t xml:space="preserve">Hato Corozal</t>
  </si>
  <si>
    <t xml:space="preserve">Astrea</t>
  </si>
  <si>
    <t xml:space="preserve">Atrato</t>
  </si>
  <si>
    <t xml:space="preserve">Canalete</t>
  </si>
  <si>
    <t xml:space="preserve">Anolaima</t>
  </si>
  <si>
    <t xml:space="preserve">Cacahual</t>
  </si>
  <si>
    <t xml:space="preserve">Miraflores</t>
  </si>
  <si>
    <t xml:space="preserve">Aipe</t>
  </si>
  <si>
    <t xml:space="preserve">Dibulla</t>
  </si>
  <si>
    <t xml:space="preserve">Ariguaní</t>
  </si>
  <si>
    <t xml:space="preserve">Cabuyaro</t>
  </si>
  <si>
    <t xml:space="preserve">Ancuya</t>
  </si>
  <si>
    <t xml:space="preserve">Bochalema</t>
  </si>
  <si>
    <t xml:space="preserve">Puerto Asís</t>
  </si>
  <si>
    <t xml:space="preserve">Circasia</t>
  </si>
  <si>
    <t xml:space="preserve">Belén De Umbría</t>
  </si>
  <si>
    <t xml:space="preserve">Aratoca</t>
  </si>
  <si>
    <t xml:space="preserve">Colosó</t>
  </si>
  <si>
    <t xml:space="preserve">Ambalema</t>
  </si>
  <si>
    <t xml:space="preserve">Ansermanuevo</t>
  </si>
  <si>
    <t xml:space="preserve">Mitú</t>
  </si>
  <si>
    <t xml:space="preserve">Cumaribo</t>
  </si>
  <si>
    <t xml:space="preserve">Mirití - Paraná</t>
  </si>
  <si>
    <t xml:space="preserve">Amagá</t>
  </si>
  <si>
    <t xml:space="preserve">Puerto Rondón</t>
  </si>
  <si>
    <t xml:space="preserve">Galapa</t>
  </si>
  <si>
    <t xml:space="preserve">Arjona</t>
  </si>
  <si>
    <t xml:space="preserve">Belén</t>
  </si>
  <si>
    <t xml:space="preserve">Belalcázar</t>
  </si>
  <si>
    <t xml:space="preserve">Curillo</t>
  </si>
  <si>
    <t xml:space="preserve">La Salina</t>
  </si>
  <si>
    <t xml:space="preserve">Becerril</t>
  </si>
  <si>
    <t xml:space="preserve">Bagadó</t>
  </si>
  <si>
    <t xml:space="preserve">Cereté</t>
  </si>
  <si>
    <t xml:space="preserve">Arbeláez</t>
  </si>
  <si>
    <t xml:space="preserve">Pana Pana</t>
  </si>
  <si>
    <t xml:space="preserve">Algeciras</t>
  </si>
  <si>
    <t xml:space="preserve">Distracción</t>
  </si>
  <si>
    <t xml:space="preserve">Cerro De San Antonio</t>
  </si>
  <si>
    <t xml:space="preserve">Castilla La Nueva</t>
  </si>
  <si>
    <t xml:space="preserve">Arboleda</t>
  </si>
  <si>
    <t xml:space="preserve">Bucarasica</t>
  </si>
  <si>
    <t xml:space="preserve">Puerto Caicedo</t>
  </si>
  <si>
    <t xml:space="preserve">Dosquebradas</t>
  </si>
  <si>
    <t xml:space="preserve">Barbosa</t>
  </si>
  <si>
    <t xml:space="preserve">Corozal</t>
  </si>
  <si>
    <t xml:space="preserve">Anzoátegui</t>
  </si>
  <si>
    <t xml:space="preserve">Carurú</t>
  </si>
  <si>
    <t xml:space="preserve">Puerto Alegría</t>
  </si>
  <si>
    <t xml:space="preserve">Amalfi</t>
  </si>
  <si>
    <t xml:space="preserve">Saravena</t>
  </si>
  <si>
    <t xml:space="preserve">Juan De Acosta</t>
  </si>
  <si>
    <t xml:space="preserve">Arroyohondo</t>
  </si>
  <si>
    <t xml:space="preserve">Berbeo</t>
  </si>
  <si>
    <t xml:space="preserve">Chinchiná</t>
  </si>
  <si>
    <t xml:space="preserve">El Doncello</t>
  </si>
  <si>
    <t xml:space="preserve">Maní</t>
  </si>
  <si>
    <t xml:space="preserve">Buenos Aires</t>
  </si>
  <si>
    <t xml:space="preserve">Bosconia</t>
  </si>
  <si>
    <t xml:space="preserve">Bahía Solano</t>
  </si>
  <si>
    <t xml:space="preserve">Chimá</t>
  </si>
  <si>
    <t xml:space="preserve">Beltrán</t>
  </si>
  <si>
    <t xml:space="preserve">Morichal</t>
  </si>
  <si>
    <t xml:space="preserve">Altamira</t>
  </si>
  <si>
    <t xml:space="preserve">El Molino</t>
  </si>
  <si>
    <t xml:space="preserve">Chivolo</t>
  </si>
  <si>
    <t xml:space="preserve">Cubarral</t>
  </si>
  <si>
    <t xml:space="preserve">Barbacoas</t>
  </si>
  <si>
    <t xml:space="preserve">Cácota</t>
  </si>
  <si>
    <t xml:space="preserve">Puerto Guzmán</t>
  </si>
  <si>
    <t xml:space="preserve">Filandia</t>
  </si>
  <si>
    <t xml:space="preserve">Guática</t>
  </si>
  <si>
    <t xml:space="preserve">Barichara</t>
  </si>
  <si>
    <t xml:space="preserve">Coveñas</t>
  </si>
  <si>
    <t xml:space="preserve">Armero</t>
  </si>
  <si>
    <t xml:space="preserve">Taraira</t>
  </si>
  <si>
    <t xml:space="preserve">Puerto Arica</t>
  </si>
  <si>
    <t xml:space="preserve">Andes</t>
  </si>
  <si>
    <t xml:space="preserve">Tame</t>
  </si>
  <si>
    <t xml:space="preserve">Luruaco</t>
  </si>
  <si>
    <t xml:space="preserve">Barranco De Loba</t>
  </si>
  <si>
    <t xml:space="preserve">Betéitiva</t>
  </si>
  <si>
    <t xml:space="preserve">Filadelfia</t>
  </si>
  <si>
    <t xml:space="preserve">El Paujíl</t>
  </si>
  <si>
    <t xml:space="preserve">Monterrey</t>
  </si>
  <si>
    <t xml:space="preserve">Cajibío</t>
  </si>
  <si>
    <t xml:space="preserve">Chimichagua</t>
  </si>
  <si>
    <t xml:space="preserve">Bajo Baudó</t>
  </si>
  <si>
    <t xml:space="preserve">Chinú</t>
  </si>
  <si>
    <t xml:space="preserve">Bituima</t>
  </si>
  <si>
    <t xml:space="preserve">Inírida</t>
  </si>
  <si>
    <t xml:space="preserve">Baraya</t>
  </si>
  <si>
    <t xml:space="preserve">Fonseca</t>
  </si>
  <si>
    <t xml:space="preserve">Ciénaga</t>
  </si>
  <si>
    <t xml:space="preserve">Cumaral</t>
  </si>
  <si>
    <t xml:space="preserve">Cáchira</t>
  </si>
  <si>
    <t xml:space="preserve">Puerto Leguízamo</t>
  </si>
  <si>
    <t xml:space="preserve">Génova</t>
  </si>
  <si>
    <t xml:space="preserve">La Celia</t>
  </si>
  <si>
    <t xml:space="preserve">Barrancabermeja</t>
  </si>
  <si>
    <t xml:space="preserve">Chalán</t>
  </si>
  <si>
    <t xml:space="preserve">Ataco</t>
  </si>
  <si>
    <t xml:space="preserve">Buenaventura</t>
  </si>
  <si>
    <t xml:space="preserve">Puerto Santander</t>
  </si>
  <si>
    <t xml:space="preserve">Angelópolis</t>
  </si>
  <si>
    <t xml:space="preserve">Malambo</t>
  </si>
  <si>
    <t xml:space="preserve">Boavita</t>
  </si>
  <si>
    <t xml:space="preserve">La Dorada</t>
  </si>
  <si>
    <t xml:space="preserve">La Montañita</t>
  </si>
  <si>
    <t xml:space="preserve">Nunchía</t>
  </si>
  <si>
    <t xml:space="preserve">Caldono</t>
  </si>
  <si>
    <t xml:space="preserve">Chiriguaná</t>
  </si>
  <si>
    <t xml:space="preserve">Bojayá</t>
  </si>
  <si>
    <t xml:space="preserve">Ciénaga De Oro</t>
  </si>
  <si>
    <t xml:space="preserve">Bojacá</t>
  </si>
  <si>
    <t xml:space="preserve">Barrancominas</t>
  </si>
  <si>
    <t xml:space="preserve">Campoalegre</t>
  </si>
  <si>
    <t xml:space="preserve">Hatonuevo</t>
  </si>
  <si>
    <t xml:space="preserve">Concordia</t>
  </si>
  <si>
    <t xml:space="preserve">El Calvario</t>
  </si>
  <si>
    <t xml:space="preserve">Buesaco</t>
  </si>
  <si>
    <t xml:space="preserve">Chinácota</t>
  </si>
  <si>
    <t xml:space="preserve">Sibundoy</t>
  </si>
  <si>
    <t xml:space="preserve">La Tebaida</t>
  </si>
  <si>
    <t xml:space="preserve">La Virginia</t>
  </si>
  <si>
    <t xml:space="preserve">Betulia</t>
  </si>
  <si>
    <t xml:space="preserve">El Roble</t>
  </si>
  <si>
    <t xml:space="preserve">Cajamarca</t>
  </si>
  <si>
    <t xml:space="preserve">Guadalajara De Buga</t>
  </si>
  <si>
    <t xml:space="preserve">Tarapacá</t>
  </si>
  <si>
    <t xml:space="preserve">Angostura</t>
  </si>
  <si>
    <t xml:space="preserve">Manatí</t>
  </si>
  <si>
    <t xml:space="preserve">Cantagallo</t>
  </si>
  <si>
    <t xml:space="preserve">La Merced</t>
  </si>
  <si>
    <t xml:space="preserve">Milán</t>
  </si>
  <si>
    <t xml:space="preserve">Orocué</t>
  </si>
  <si>
    <t xml:space="preserve">Caloto</t>
  </si>
  <si>
    <t xml:space="preserve">Curumaní</t>
  </si>
  <si>
    <t xml:space="preserve">El Cantón Del San Pablo</t>
  </si>
  <si>
    <t xml:space="preserve">Cotorra</t>
  </si>
  <si>
    <t xml:space="preserve">Cabrera</t>
  </si>
  <si>
    <t xml:space="preserve">Colombia</t>
  </si>
  <si>
    <t xml:space="preserve">La Jagua Del Pilar</t>
  </si>
  <si>
    <t xml:space="preserve">El Banco</t>
  </si>
  <si>
    <t xml:space="preserve">El Castillo</t>
  </si>
  <si>
    <t xml:space="preserve">Chitagá</t>
  </si>
  <si>
    <t xml:space="preserve">San Francisco</t>
  </si>
  <si>
    <t xml:space="preserve">Montenegro</t>
  </si>
  <si>
    <t xml:space="preserve">Marsella</t>
  </si>
  <si>
    <t xml:space="preserve">Galeras</t>
  </si>
  <si>
    <t xml:space="preserve">Carmen De Apicalá</t>
  </si>
  <si>
    <t xml:space="preserve">Bugalagrande</t>
  </si>
  <si>
    <t xml:space="preserve">Leticia</t>
  </si>
  <si>
    <t xml:space="preserve">Anorí</t>
  </si>
  <si>
    <t xml:space="preserve">Palmar De Varela</t>
  </si>
  <si>
    <t xml:space="preserve">Cicuco</t>
  </si>
  <si>
    <t xml:space="preserve">Briceño</t>
  </si>
  <si>
    <t xml:space="preserve">Manzanares</t>
  </si>
  <si>
    <t xml:space="preserve">Morelia</t>
  </si>
  <si>
    <t xml:space="preserve">Paz De Ariporo</t>
  </si>
  <si>
    <t xml:space="preserve">Corinto</t>
  </si>
  <si>
    <t xml:space="preserve">El Copey</t>
  </si>
  <si>
    <t xml:space="preserve">Carmen Del Darién</t>
  </si>
  <si>
    <t xml:space="preserve">La Apartada</t>
  </si>
  <si>
    <t xml:space="preserve">Cachipay</t>
  </si>
  <si>
    <t xml:space="preserve">Elías</t>
  </si>
  <si>
    <t xml:space="preserve">Maicao</t>
  </si>
  <si>
    <t xml:space="preserve">El Piñón</t>
  </si>
  <si>
    <t xml:space="preserve">El Dorado</t>
  </si>
  <si>
    <t xml:space="preserve">Consacá</t>
  </si>
  <si>
    <t xml:space="preserve">Convención</t>
  </si>
  <si>
    <t xml:space="preserve">San Miguel</t>
  </si>
  <si>
    <t xml:space="preserve">Pijao</t>
  </si>
  <si>
    <t xml:space="preserve">Mistrató</t>
  </si>
  <si>
    <t xml:space="preserve">Guaranda</t>
  </si>
  <si>
    <t xml:space="preserve">Casabianca</t>
  </si>
  <si>
    <t xml:space="preserve">Caicedonia</t>
  </si>
  <si>
    <t xml:space="preserve">Puerto Nariño</t>
  </si>
  <si>
    <t xml:space="preserve">Santa Fé De Antioquia</t>
  </si>
  <si>
    <t xml:space="preserve">Piojó</t>
  </si>
  <si>
    <t xml:space="preserve">Marmato</t>
  </si>
  <si>
    <t xml:space="preserve">Puerto Rico</t>
  </si>
  <si>
    <t xml:space="preserve">Pore</t>
  </si>
  <si>
    <t xml:space="preserve">El Tambo</t>
  </si>
  <si>
    <t xml:space="preserve">El Paso</t>
  </si>
  <si>
    <t xml:space="preserve">Cértegui</t>
  </si>
  <si>
    <t xml:space="preserve">Lorica</t>
  </si>
  <si>
    <t xml:space="preserve">Cajicá</t>
  </si>
  <si>
    <t xml:space="preserve">Garzón</t>
  </si>
  <si>
    <t xml:space="preserve">Manaure</t>
  </si>
  <si>
    <t xml:space="preserve">El Retén</t>
  </si>
  <si>
    <t xml:space="preserve">Fuente De Oro</t>
  </si>
  <si>
    <t xml:space="preserve">Contadero</t>
  </si>
  <si>
    <t xml:space="preserve">Cucutilla</t>
  </si>
  <si>
    <t xml:space="preserve">Santiago</t>
  </si>
  <si>
    <t xml:space="preserve">Quimbaya</t>
  </si>
  <si>
    <t xml:space="preserve">Pueblo Rico</t>
  </si>
  <si>
    <t xml:space="preserve">California</t>
  </si>
  <si>
    <t xml:space="preserve">La Unión</t>
  </si>
  <si>
    <t xml:space="preserve">Chaparral</t>
  </si>
  <si>
    <t xml:space="preserve">Calima</t>
  </si>
  <si>
    <t xml:space="preserve">Anzá</t>
  </si>
  <si>
    <t xml:space="preserve">Polonuevo</t>
  </si>
  <si>
    <t xml:space="preserve">Clemencia</t>
  </si>
  <si>
    <t xml:space="preserve">Busbanzá</t>
  </si>
  <si>
    <t xml:space="preserve">Marquetalia</t>
  </si>
  <si>
    <t xml:space="preserve">San José Del Fragua</t>
  </si>
  <si>
    <t xml:space="preserve">Recetor</t>
  </si>
  <si>
    <t xml:space="preserve">Gamarra</t>
  </si>
  <si>
    <t xml:space="preserve">Condoto</t>
  </si>
  <si>
    <t xml:space="preserve">Los Córdobas</t>
  </si>
  <si>
    <t xml:space="preserve">Caparrapí</t>
  </si>
  <si>
    <t xml:space="preserve">Gigante</t>
  </si>
  <si>
    <t xml:space="preserve">San Juan Del Cesar</t>
  </si>
  <si>
    <t xml:space="preserve">Fundación</t>
  </si>
  <si>
    <t xml:space="preserve">Granada</t>
  </si>
  <si>
    <t xml:space="preserve">Durania</t>
  </si>
  <si>
    <t xml:space="preserve">Valle Del Guamuez</t>
  </si>
  <si>
    <t xml:space="preserve">Salento</t>
  </si>
  <si>
    <t xml:space="preserve">Quinchía</t>
  </si>
  <si>
    <t xml:space="preserve">Capitanejo</t>
  </si>
  <si>
    <t xml:space="preserve">Los Palmitos</t>
  </si>
  <si>
    <t xml:space="preserve">Coello</t>
  </si>
  <si>
    <t xml:space="preserve">Apartadó</t>
  </si>
  <si>
    <t xml:space="preserve">Ponedera</t>
  </si>
  <si>
    <t xml:space="preserve">El Carmen De Bolívar</t>
  </si>
  <si>
    <t xml:space="preserve">Marulanda</t>
  </si>
  <si>
    <t xml:space="preserve">San Vicente Del Caguán</t>
  </si>
  <si>
    <t xml:space="preserve">Sabanalarga</t>
  </si>
  <si>
    <t xml:space="preserve">Guachené</t>
  </si>
  <si>
    <t xml:space="preserve">González</t>
  </si>
  <si>
    <t xml:space="preserve">El Carmen De Atrato</t>
  </si>
  <si>
    <t xml:space="preserve">Momil</t>
  </si>
  <si>
    <t xml:space="preserve">Cáqueza</t>
  </si>
  <si>
    <t xml:space="preserve">Guadalupe</t>
  </si>
  <si>
    <t xml:space="preserve">Uribia</t>
  </si>
  <si>
    <t xml:space="preserve">Guamal</t>
  </si>
  <si>
    <t xml:space="preserve">Cuaspud Carlosama</t>
  </si>
  <si>
    <t xml:space="preserve">El Carmen</t>
  </si>
  <si>
    <t xml:space="preserve">Villagarzón</t>
  </si>
  <si>
    <t xml:space="preserve">Santa Rosa De Cabal</t>
  </si>
  <si>
    <t xml:space="preserve">Carcasí</t>
  </si>
  <si>
    <t xml:space="preserve">Majagual</t>
  </si>
  <si>
    <t xml:space="preserve">Coyaima</t>
  </si>
  <si>
    <t xml:space="preserve">Cartago</t>
  </si>
  <si>
    <t xml:space="preserve">Arboletes</t>
  </si>
  <si>
    <t xml:space="preserve">El Guamo</t>
  </si>
  <si>
    <t xml:space="preserve">Campohermoso</t>
  </si>
  <si>
    <t xml:space="preserve">Neira</t>
  </si>
  <si>
    <t xml:space="preserve">Solano</t>
  </si>
  <si>
    <t xml:space="preserve">Sácama</t>
  </si>
  <si>
    <t xml:space="preserve">Guapi</t>
  </si>
  <si>
    <t xml:space="preserve">La Gloria</t>
  </si>
  <si>
    <t xml:space="preserve">El Litoral Del San Juan</t>
  </si>
  <si>
    <t xml:space="preserve">Montelíbano</t>
  </si>
  <si>
    <t xml:space="preserve">Carmen De Carupa</t>
  </si>
  <si>
    <t xml:space="preserve">Hobo</t>
  </si>
  <si>
    <t xml:space="preserve">Urumita</t>
  </si>
  <si>
    <t xml:space="preserve">Nueva Granada</t>
  </si>
  <si>
    <t xml:space="preserve">Mapiripán</t>
  </si>
  <si>
    <t xml:space="preserve">Cumbal</t>
  </si>
  <si>
    <t xml:space="preserve">El Tarra</t>
  </si>
  <si>
    <t xml:space="preserve">Santuario</t>
  </si>
  <si>
    <t xml:space="preserve">Cepitá</t>
  </si>
  <si>
    <t xml:space="preserve">Morroa</t>
  </si>
  <si>
    <t xml:space="preserve">Cunday</t>
  </si>
  <si>
    <t xml:space="preserve">Dagua</t>
  </si>
  <si>
    <t xml:space="preserve">Repelón</t>
  </si>
  <si>
    <t xml:space="preserve">El Peñón</t>
  </si>
  <si>
    <t xml:space="preserve">Cerinza</t>
  </si>
  <si>
    <t xml:space="preserve">Norcasia</t>
  </si>
  <si>
    <t xml:space="preserve">Solita</t>
  </si>
  <si>
    <t xml:space="preserve">San Luis De Palenque</t>
  </si>
  <si>
    <t xml:space="preserve">Inzá</t>
  </si>
  <si>
    <t xml:space="preserve">La Jagua De Ibirico</t>
  </si>
  <si>
    <t xml:space="preserve">Istmina</t>
  </si>
  <si>
    <t xml:space="preserve">Moñitos</t>
  </si>
  <si>
    <t xml:space="preserve">Chaguaní</t>
  </si>
  <si>
    <t xml:space="preserve">Íquira</t>
  </si>
  <si>
    <t xml:space="preserve">Villanueva</t>
  </si>
  <si>
    <t xml:space="preserve">Pedraza</t>
  </si>
  <si>
    <t xml:space="preserve">Mesetas</t>
  </si>
  <si>
    <t xml:space="preserve">Cumbitara</t>
  </si>
  <si>
    <t xml:space="preserve">El Zulia</t>
  </si>
  <si>
    <t xml:space="preserve">Cerrito</t>
  </si>
  <si>
    <t xml:space="preserve">Ovejas</t>
  </si>
  <si>
    <t xml:space="preserve">Dolores</t>
  </si>
  <si>
    <t xml:space="preserve">El Águila</t>
  </si>
  <si>
    <t xml:space="preserve">Sabanagrande</t>
  </si>
  <si>
    <t xml:space="preserve">Hatillo De Loba</t>
  </si>
  <si>
    <t xml:space="preserve">Chinavita</t>
  </si>
  <si>
    <t xml:space="preserve">Pácora</t>
  </si>
  <si>
    <t xml:space="preserve">Valparaíso</t>
  </si>
  <si>
    <t xml:space="preserve">Támara</t>
  </si>
  <si>
    <t xml:space="preserve">Jambaló</t>
  </si>
  <si>
    <t xml:space="preserve">Manaure Balcón Del Cesar</t>
  </si>
  <si>
    <t xml:space="preserve">Juradó</t>
  </si>
  <si>
    <t xml:space="preserve">Planeta Rica</t>
  </si>
  <si>
    <t xml:space="preserve">Chía</t>
  </si>
  <si>
    <t xml:space="preserve">Isnos</t>
  </si>
  <si>
    <t xml:space="preserve">Pijiño Del Carmen</t>
  </si>
  <si>
    <t xml:space="preserve">La Macarena</t>
  </si>
  <si>
    <t xml:space="preserve">Chachagüí</t>
  </si>
  <si>
    <t xml:space="preserve">Gramalote</t>
  </si>
  <si>
    <t xml:space="preserve">Charalá</t>
  </si>
  <si>
    <t xml:space="preserve">Palmito</t>
  </si>
  <si>
    <t xml:space="preserve">Espinal</t>
  </si>
  <si>
    <t xml:space="preserve">El Cairo</t>
  </si>
  <si>
    <t xml:space="preserve">Magangué</t>
  </si>
  <si>
    <t xml:space="preserve">Chiquinquirá</t>
  </si>
  <si>
    <t xml:space="preserve">Palestina</t>
  </si>
  <si>
    <t xml:space="preserve">Tauramena</t>
  </si>
  <si>
    <t xml:space="preserve">La Sierra</t>
  </si>
  <si>
    <t xml:space="preserve">Pailitas</t>
  </si>
  <si>
    <t xml:space="preserve">Lloró</t>
  </si>
  <si>
    <t xml:space="preserve">Pueblo Nuevo</t>
  </si>
  <si>
    <t xml:space="preserve">Chipaque</t>
  </si>
  <si>
    <t xml:space="preserve">La Argentina</t>
  </si>
  <si>
    <t xml:space="preserve">Pivijay</t>
  </si>
  <si>
    <t xml:space="preserve">Uribe</t>
  </si>
  <si>
    <t xml:space="preserve">El Charco</t>
  </si>
  <si>
    <t xml:space="preserve">Hacarí</t>
  </si>
  <si>
    <t xml:space="preserve">Charta</t>
  </si>
  <si>
    <t xml:space="preserve">Sampués</t>
  </si>
  <si>
    <t xml:space="preserve">Falan</t>
  </si>
  <si>
    <t xml:space="preserve">El Cerrito</t>
  </si>
  <si>
    <t xml:space="preserve">Belmira</t>
  </si>
  <si>
    <t xml:space="preserve">Santa Lucía</t>
  </si>
  <si>
    <t xml:space="preserve">Mahates</t>
  </si>
  <si>
    <t xml:space="preserve">Chiscas</t>
  </si>
  <si>
    <t xml:space="preserve">Pensilvania</t>
  </si>
  <si>
    <t xml:space="preserve">Trinidad</t>
  </si>
  <si>
    <t xml:space="preserve">La Vega</t>
  </si>
  <si>
    <t xml:space="preserve">Pelaya</t>
  </si>
  <si>
    <t xml:space="preserve">Medio Atrato</t>
  </si>
  <si>
    <t xml:space="preserve">Puerto Escondido</t>
  </si>
  <si>
    <t xml:space="preserve">Choachí</t>
  </si>
  <si>
    <t xml:space="preserve">La Plata</t>
  </si>
  <si>
    <t xml:space="preserve">Plato</t>
  </si>
  <si>
    <t xml:space="preserve">Lejanías</t>
  </si>
  <si>
    <t xml:space="preserve">El Peñol</t>
  </si>
  <si>
    <t xml:space="preserve">Herrán</t>
  </si>
  <si>
    <t xml:space="preserve">Chima</t>
  </si>
  <si>
    <t xml:space="preserve">San Benito Abad</t>
  </si>
  <si>
    <t xml:space="preserve">Flandes</t>
  </si>
  <si>
    <t xml:space="preserve">El Dovio</t>
  </si>
  <si>
    <t xml:space="preserve">Bello</t>
  </si>
  <si>
    <t xml:space="preserve">Santo Tomás</t>
  </si>
  <si>
    <t xml:space="preserve">Margarita</t>
  </si>
  <si>
    <t xml:space="preserve">Chita</t>
  </si>
  <si>
    <t xml:space="preserve">Riosucio</t>
  </si>
  <si>
    <t xml:space="preserve">López De Micay</t>
  </si>
  <si>
    <t xml:space="preserve">Pueblo Bello</t>
  </si>
  <si>
    <t xml:space="preserve">Medio Baudó</t>
  </si>
  <si>
    <t xml:space="preserve">Puerto Libertador</t>
  </si>
  <si>
    <t xml:space="preserve">Chocontá</t>
  </si>
  <si>
    <t xml:space="preserve">Nátaga</t>
  </si>
  <si>
    <t xml:space="preserve">Puebloviejo</t>
  </si>
  <si>
    <t xml:space="preserve">Puerto Concordia</t>
  </si>
  <si>
    <t xml:space="preserve">El Rosario</t>
  </si>
  <si>
    <t xml:space="preserve">Labateca</t>
  </si>
  <si>
    <t xml:space="preserve">Chipatá</t>
  </si>
  <si>
    <t xml:space="preserve">San Juan De Betulia</t>
  </si>
  <si>
    <t xml:space="preserve">Fresno</t>
  </si>
  <si>
    <t xml:space="preserve">Florida</t>
  </si>
  <si>
    <t xml:space="preserve">Betania</t>
  </si>
  <si>
    <t xml:space="preserve">Soledad</t>
  </si>
  <si>
    <t xml:space="preserve">María La Baja</t>
  </si>
  <si>
    <t xml:space="preserve">Chitaraque</t>
  </si>
  <si>
    <t xml:space="preserve">Mercaderes</t>
  </si>
  <si>
    <t xml:space="preserve">Río De Oro</t>
  </si>
  <si>
    <t xml:space="preserve">Medio San Juan</t>
  </si>
  <si>
    <t xml:space="preserve">Purísima De La Concepción</t>
  </si>
  <si>
    <t xml:space="preserve">Cogua</t>
  </si>
  <si>
    <t xml:space="preserve">Oporapa</t>
  </si>
  <si>
    <t xml:space="preserve">Remolino</t>
  </si>
  <si>
    <t xml:space="preserve">Puerto Gaitán</t>
  </si>
  <si>
    <t xml:space="preserve">El Tablón De Gómez</t>
  </si>
  <si>
    <t xml:space="preserve">La Esperanza</t>
  </si>
  <si>
    <t xml:space="preserve">Cimitarra</t>
  </si>
  <si>
    <t xml:space="preserve">San Marcos</t>
  </si>
  <si>
    <t xml:space="preserve">Guamo</t>
  </si>
  <si>
    <t xml:space="preserve">Ginebra</t>
  </si>
  <si>
    <t xml:space="preserve">Suan</t>
  </si>
  <si>
    <t xml:space="preserve">Montecristo</t>
  </si>
  <si>
    <t xml:space="preserve">Chivatá</t>
  </si>
  <si>
    <t xml:space="preserve">Salamina</t>
  </si>
  <si>
    <t xml:space="preserve">Miranda</t>
  </si>
  <si>
    <t xml:space="preserve">La Paz</t>
  </si>
  <si>
    <t xml:space="preserve">Nóvita</t>
  </si>
  <si>
    <t xml:space="preserve">Sahagún</t>
  </si>
  <si>
    <t xml:space="preserve">Cota</t>
  </si>
  <si>
    <t xml:space="preserve">Paicol</t>
  </si>
  <si>
    <t xml:space="preserve">Sabanas De San Ángel</t>
  </si>
  <si>
    <t xml:space="preserve">Puerto López</t>
  </si>
  <si>
    <t xml:space="preserve">La Playa</t>
  </si>
  <si>
    <t xml:space="preserve">Concepción</t>
  </si>
  <si>
    <t xml:space="preserve">San Onofre</t>
  </si>
  <si>
    <t xml:space="preserve">Herveo</t>
  </si>
  <si>
    <t xml:space="preserve">Guacarí</t>
  </si>
  <si>
    <t xml:space="preserve">Ciudad Bolívar</t>
  </si>
  <si>
    <t xml:space="preserve">Tubará</t>
  </si>
  <si>
    <t xml:space="preserve">Santa Cruz De Mompox</t>
  </si>
  <si>
    <t xml:space="preserve">Ciénega</t>
  </si>
  <si>
    <t xml:space="preserve">Samaná</t>
  </si>
  <si>
    <t xml:space="preserve">Morales</t>
  </si>
  <si>
    <t xml:space="preserve">San Alberto</t>
  </si>
  <si>
    <t xml:space="preserve">Nuevo Belén De Bajirá *</t>
  </si>
  <si>
    <t xml:space="preserve">San Andrés De Sotavento</t>
  </si>
  <si>
    <t xml:space="preserve">Cucunubá</t>
  </si>
  <si>
    <t xml:space="preserve">Palermo</t>
  </si>
  <si>
    <t xml:space="preserve">Puerto Lleras</t>
  </si>
  <si>
    <t xml:space="preserve">Funes</t>
  </si>
  <si>
    <t xml:space="preserve">Los Patios</t>
  </si>
  <si>
    <t xml:space="preserve">Confines</t>
  </si>
  <si>
    <t xml:space="preserve">San Pedro</t>
  </si>
  <si>
    <t xml:space="preserve">Honda</t>
  </si>
  <si>
    <t xml:space="preserve">Jamundí</t>
  </si>
  <si>
    <t xml:space="preserve">Usiacurí</t>
  </si>
  <si>
    <t xml:space="preserve">Cómbita</t>
  </si>
  <si>
    <t xml:space="preserve">San José</t>
  </si>
  <si>
    <t xml:space="preserve">Padilla</t>
  </si>
  <si>
    <t xml:space="preserve">San Diego</t>
  </si>
  <si>
    <t xml:space="preserve">Nuquí</t>
  </si>
  <si>
    <t xml:space="preserve">San Antero</t>
  </si>
  <si>
    <t xml:space="preserve">El Colegio</t>
  </si>
  <si>
    <t xml:space="preserve">San Sebastián De Buenavista</t>
  </si>
  <si>
    <t xml:space="preserve">Guachucal</t>
  </si>
  <si>
    <t xml:space="preserve">Lourdes</t>
  </si>
  <si>
    <t xml:space="preserve">Contratación</t>
  </si>
  <si>
    <t xml:space="preserve">San Luis De Sincé</t>
  </si>
  <si>
    <t xml:space="preserve">Icononzo</t>
  </si>
  <si>
    <t xml:space="preserve">La Cumbre</t>
  </si>
  <si>
    <t xml:space="preserve">Buriticá</t>
  </si>
  <si>
    <t xml:space="preserve">Norosí</t>
  </si>
  <si>
    <t xml:space="preserve">Coper</t>
  </si>
  <si>
    <t xml:space="preserve">Supía</t>
  </si>
  <si>
    <t xml:space="preserve">Páez</t>
  </si>
  <si>
    <t xml:space="preserve">San Martín</t>
  </si>
  <si>
    <t xml:space="preserve">Río Iró</t>
  </si>
  <si>
    <t xml:space="preserve">San Bernardo Del Viento</t>
  </si>
  <si>
    <t xml:space="preserve">Pital</t>
  </si>
  <si>
    <t xml:space="preserve">San Zenón</t>
  </si>
  <si>
    <t xml:space="preserve">Restrepo</t>
  </si>
  <si>
    <t xml:space="preserve">Guaitarilla</t>
  </si>
  <si>
    <t xml:space="preserve">Mutiscua</t>
  </si>
  <si>
    <t xml:space="preserve">Coromoro</t>
  </si>
  <si>
    <t xml:space="preserve">Lérida</t>
  </si>
  <si>
    <t xml:space="preserve">Cáceres</t>
  </si>
  <si>
    <t xml:space="preserve">Pinillos</t>
  </si>
  <si>
    <t xml:space="preserve">Corrales</t>
  </si>
  <si>
    <t xml:space="preserve">Victoria</t>
  </si>
  <si>
    <t xml:space="preserve">Patía</t>
  </si>
  <si>
    <t xml:space="preserve">Tamalameque</t>
  </si>
  <si>
    <t xml:space="preserve">Río Quito</t>
  </si>
  <si>
    <t xml:space="preserve">San Carlos</t>
  </si>
  <si>
    <t xml:space="preserve">El Rosal</t>
  </si>
  <si>
    <t xml:space="preserve">Pitalito</t>
  </si>
  <si>
    <t xml:space="preserve">Santa Ana</t>
  </si>
  <si>
    <t xml:space="preserve">San Carlos De Guaroa</t>
  </si>
  <si>
    <t xml:space="preserve">Gualmatán</t>
  </si>
  <si>
    <t xml:space="preserve">Ocaña</t>
  </si>
  <si>
    <t xml:space="preserve">Curití</t>
  </si>
  <si>
    <t xml:space="preserve">Santiago De Tolú</t>
  </si>
  <si>
    <t xml:space="preserve">Líbano</t>
  </si>
  <si>
    <t xml:space="preserve">Caicedo</t>
  </si>
  <si>
    <t xml:space="preserve">Regidor</t>
  </si>
  <si>
    <t xml:space="preserve">Covarachía</t>
  </si>
  <si>
    <t xml:space="preserve">Villamaría</t>
  </si>
  <si>
    <t xml:space="preserve">Piamonte</t>
  </si>
  <si>
    <t xml:space="preserve">San José De Uré</t>
  </si>
  <si>
    <t xml:space="preserve">Facatativá</t>
  </si>
  <si>
    <t xml:space="preserve">Rivera</t>
  </si>
  <si>
    <t xml:space="preserve">Santa Bárbara De Pinto</t>
  </si>
  <si>
    <t xml:space="preserve">San Juan De Arama</t>
  </si>
  <si>
    <t xml:space="preserve">Iles</t>
  </si>
  <si>
    <t xml:space="preserve">Pamplona</t>
  </si>
  <si>
    <t xml:space="preserve">El Carmen De Chucurí</t>
  </si>
  <si>
    <t xml:space="preserve">San José De Toluviejo</t>
  </si>
  <si>
    <t xml:space="preserve">San Sebastián De Mariquita</t>
  </si>
  <si>
    <t xml:space="preserve">Obando</t>
  </si>
  <si>
    <t xml:space="preserve">Río Viejo</t>
  </si>
  <si>
    <t xml:space="preserve">Cubará</t>
  </si>
  <si>
    <t xml:space="preserve">Viterbo</t>
  </si>
  <si>
    <t xml:space="preserve">Piendamó - Tunía</t>
  </si>
  <si>
    <t xml:space="preserve">San José Del Palmar</t>
  </si>
  <si>
    <t xml:space="preserve">San Pelayo</t>
  </si>
  <si>
    <t xml:space="preserve">Fómeque</t>
  </si>
  <si>
    <t xml:space="preserve">Saladoblanco</t>
  </si>
  <si>
    <t xml:space="preserve">Sitionuevo</t>
  </si>
  <si>
    <t xml:space="preserve">San Juanito</t>
  </si>
  <si>
    <t xml:space="preserve">Imués</t>
  </si>
  <si>
    <t xml:space="preserve">Pamplonita</t>
  </si>
  <si>
    <t xml:space="preserve">El Guacamayo</t>
  </si>
  <si>
    <t xml:space="preserve">Melgar</t>
  </si>
  <si>
    <t xml:space="preserve">Palmira</t>
  </si>
  <si>
    <t xml:space="preserve">Campamento</t>
  </si>
  <si>
    <t xml:space="preserve">San Cristóbal</t>
  </si>
  <si>
    <t xml:space="preserve">Cucaita</t>
  </si>
  <si>
    <t xml:space="preserve">Puerto Tejada</t>
  </si>
  <si>
    <t xml:space="preserve">Sipí</t>
  </si>
  <si>
    <t xml:space="preserve">Tierralta</t>
  </si>
  <si>
    <t xml:space="preserve">Fosca</t>
  </si>
  <si>
    <t xml:space="preserve">San Agustín</t>
  </si>
  <si>
    <t xml:space="preserve">Tenerife</t>
  </si>
  <si>
    <t xml:space="preserve">Ipiales</t>
  </si>
  <si>
    <t xml:space="preserve">Murillo</t>
  </si>
  <si>
    <t xml:space="preserve">Pradera</t>
  </si>
  <si>
    <t xml:space="preserve">Cañasgordas</t>
  </si>
  <si>
    <t xml:space="preserve">San Estanislao</t>
  </si>
  <si>
    <t xml:space="preserve">Cuítiva</t>
  </si>
  <si>
    <t xml:space="preserve">Puracé</t>
  </si>
  <si>
    <t xml:space="preserve">Tadó</t>
  </si>
  <si>
    <t xml:space="preserve">Tuchín</t>
  </si>
  <si>
    <t xml:space="preserve">Funza</t>
  </si>
  <si>
    <t xml:space="preserve">Santa María</t>
  </si>
  <si>
    <t xml:space="preserve">Zapayán</t>
  </si>
  <si>
    <t xml:space="preserve">Vistahermosa</t>
  </si>
  <si>
    <t xml:space="preserve">La Cruz</t>
  </si>
  <si>
    <t xml:space="preserve">Ragonvalia</t>
  </si>
  <si>
    <t xml:space="preserve">El Playón</t>
  </si>
  <si>
    <t xml:space="preserve">Natagaima</t>
  </si>
  <si>
    <t xml:space="preserve">Caracolí</t>
  </si>
  <si>
    <t xml:space="preserve">San Fernando</t>
  </si>
  <si>
    <t xml:space="preserve">Chíquiza</t>
  </si>
  <si>
    <t xml:space="preserve">Rosas</t>
  </si>
  <si>
    <t xml:space="preserve">Unguía</t>
  </si>
  <si>
    <t xml:space="preserve">Valencia</t>
  </si>
  <si>
    <t xml:space="preserve">Fúquene</t>
  </si>
  <si>
    <t xml:space="preserve">Suaza</t>
  </si>
  <si>
    <t xml:space="preserve">Zona Bananera</t>
  </si>
  <si>
    <t xml:space="preserve">La Florida</t>
  </si>
  <si>
    <t xml:space="preserve">Salazar</t>
  </si>
  <si>
    <t xml:space="preserve">Encino</t>
  </si>
  <si>
    <t xml:space="preserve">Ortega</t>
  </si>
  <si>
    <t xml:space="preserve">Riofrío</t>
  </si>
  <si>
    <t xml:space="preserve">Caramanta</t>
  </si>
  <si>
    <t xml:space="preserve">San Jacinto</t>
  </si>
  <si>
    <t xml:space="preserve">Chivor</t>
  </si>
  <si>
    <t xml:space="preserve">San Sebastián</t>
  </si>
  <si>
    <t xml:space="preserve">Unión Panamericana</t>
  </si>
  <si>
    <t xml:space="preserve">Fusagasugá</t>
  </si>
  <si>
    <t xml:space="preserve">Tarqui</t>
  </si>
  <si>
    <t xml:space="preserve">La Llanada</t>
  </si>
  <si>
    <t xml:space="preserve">San Calixto</t>
  </si>
  <si>
    <t xml:space="preserve">Enciso</t>
  </si>
  <si>
    <t xml:space="preserve">Palocabildo</t>
  </si>
  <si>
    <t xml:space="preserve">Roldanillo</t>
  </si>
  <si>
    <t xml:space="preserve">Carepa</t>
  </si>
  <si>
    <t xml:space="preserve">San Jacinto Del Cauca</t>
  </si>
  <si>
    <t xml:space="preserve">Duitama</t>
  </si>
  <si>
    <t xml:space="preserve">Santander De Quilichao</t>
  </si>
  <si>
    <t xml:space="preserve">Gachalá</t>
  </si>
  <si>
    <t xml:space="preserve">Tesalia</t>
  </si>
  <si>
    <t xml:space="preserve">La Tola</t>
  </si>
  <si>
    <t xml:space="preserve">San Cayetano</t>
  </si>
  <si>
    <t xml:space="preserve">Florián</t>
  </si>
  <si>
    <t xml:space="preserve">Piedras</t>
  </si>
  <si>
    <t xml:space="preserve">El Carmen De Viboral</t>
  </si>
  <si>
    <t xml:space="preserve">San Juan Nepomuceno</t>
  </si>
  <si>
    <t xml:space="preserve">El Cocuy</t>
  </si>
  <si>
    <t xml:space="preserve">Santa Rosa</t>
  </si>
  <si>
    <t xml:space="preserve">Gachancipá</t>
  </si>
  <si>
    <t xml:space="preserve">Tello</t>
  </si>
  <si>
    <t xml:space="preserve">Floridablanca</t>
  </si>
  <si>
    <t xml:space="preserve">Planadas</t>
  </si>
  <si>
    <t xml:space="preserve">Sevilla</t>
  </si>
  <si>
    <t xml:space="preserve">Carolina</t>
  </si>
  <si>
    <t xml:space="preserve">San Martín De Loba</t>
  </si>
  <si>
    <t xml:space="preserve">El Espino</t>
  </si>
  <si>
    <t xml:space="preserve">Silvia</t>
  </si>
  <si>
    <t xml:space="preserve">Gachetá</t>
  </si>
  <si>
    <t xml:space="preserve">Teruel</t>
  </si>
  <si>
    <t xml:space="preserve">Leiva</t>
  </si>
  <si>
    <t xml:space="preserve">Sardinata</t>
  </si>
  <si>
    <t xml:space="preserve">Galán</t>
  </si>
  <si>
    <t xml:space="preserve">Prado</t>
  </si>
  <si>
    <t xml:space="preserve">Toro</t>
  </si>
  <si>
    <t xml:space="preserve">Caucasia</t>
  </si>
  <si>
    <t xml:space="preserve">San Pablo</t>
  </si>
  <si>
    <t xml:space="preserve">Firavitoba</t>
  </si>
  <si>
    <t xml:space="preserve">Sotará Paispamba</t>
  </si>
  <si>
    <t xml:space="preserve">Gama</t>
  </si>
  <si>
    <t xml:space="preserve">Timaná</t>
  </si>
  <si>
    <t xml:space="preserve">Linares</t>
  </si>
  <si>
    <t xml:space="preserve">Silos</t>
  </si>
  <si>
    <t xml:space="preserve">Gámbita</t>
  </si>
  <si>
    <t xml:space="preserve">Purificación</t>
  </si>
  <si>
    <t xml:space="preserve">Trujillo</t>
  </si>
  <si>
    <t xml:space="preserve">Chigorodó</t>
  </si>
  <si>
    <t xml:space="preserve">Santa Catalina</t>
  </si>
  <si>
    <t xml:space="preserve">Floresta</t>
  </si>
  <si>
    <t xml:space="preserve">Suárez</t>
  </si>
  <si>
    <t xml:space="preserve">Girardot</t>
  </si>
  <si>
    <t xml:space="preserve">Villavieja</t>
  </si>
  <si>
    <t xml:space="preserve">Los Andes</t>
  </si>
  <si>
    <t xml:space="preserve">Teorama</t>
  </si>
  <si>
    <t xml:space="preserve">Girón</t>
  </si>
  <si>
    <t xml:space="preserve">Rioblanco</t>
  </si>
  <si>
    <t xml:space="preserve">Tuluá</t>
  </si>
  <si>
    <t xml:space="preserve">Cisneros</t>
  </si>
  <si>
    <t xml:space="preserve">Gachantivá</t>
  </si>
  <si>
    <t xml:space="preserve">Yaguará</t>
  </si>
  <si>
    <t xml:space="preserve">Magüí</t>
  </si>
  <si>
    <t xml:space="preserve">Tibú</t>
  </si>
  <si>
    <t xml:space="preserve">Guaca</t>
  </si>
  <si>
    <t xml:space="preserve">Roncesvalles</t>
  </si>
  <si>
    <t xml:space="preserve">Ulloa</t>
  </si>
  <si>
    <t xml:space="preserve">Cocorná</t>
  </si>
  <si>
    <t xml:space="preserve">Santa Rosa Del Sur</t>
  </si>
  <si>
    <t xml:space="preserve">Gámeza</t>
  </si>
  <si>
    <t xml:space="preserve">Timbío</t>
  </si>
  <si>
    <t xml:space="preserve">Guachetá</t>
  </si>
  <si>
    <t xml:space="preserve">Mallama</t>
  </si>
  <si>
    <t xml:space="preserve">Toledo</t>
  </si>
  <si>
    <t xml:space="preserve">Rovira</t>
  </si>
  <si>
    <t xml:space="preserve">Versalles</t>
  </si>
  <si>
    <t xml:space="preserve">Simití</t>
  </si>
  <si>
    <t xml:space="preserve">Garagoa</t>
  </si>
  <si>
    <t xml:space="preserve">Timbiquí</t>
  </si>
  <si>
    <t xml:space="preserve">Guaduas</t>
  </si>
  <si>
    <t xml:space="preserve">Mosquera</t>
  </si>
  <si>
    <t xml:space="preserve">Villa Caro</t>
  </si>
  <si>
    <t xml:space="preserve">Guapotá</t>
  </si>
  <si>
    <t xml:space="preserve">Saldaña</t>
  </si>
  <si>
    <t xml:space="preserve">Vijes</t>
  </si>
  <si>
    <t xml:space="preserve">Soplaviento</t>
  </si>
  <si>
    <t xml:space="preserve">Guacamayas</t>
  </si>
  <si>
    <t xml:space="preserve">Toribío</t>
  </si>
  <si>
    <t xml:space="preserve">Guasca</t>
  </si>
  <si>
    <t xml:space="preserve">Villa Del Rosario</t>
  </si>
  <si>
    <t xml:space="preserve">Guavatá</t>
  </si>
  <si>
    <t xml:space="preserve">San Antonio</t>
  </si>
  <si>
    <t xml:space="preserve">Yotoco</t>
  </si>
  <si>
    <t xml:space="preserve">Copacabana</t>
  </si>
  <si>
    <t xml:space="preserve">Talaigua Nuevo</t>
  </si>
  <si>
    <t xml:space="preserve">Guateque</t>
  </si>
  <si>
    <t xml:space="preserve">Totoró</t>
  </si>
  <si>
    <t xml:space="preserve">Guataquí</t>
  </si>
  <si>
    <t xml:space="preserve">Olaya Herrera</t>
  </si>
  <si>
    <t xml:space="preserve">Güepsa</t>
  </si>
  <si>
    <t xml:space="preserve">San Luis</t>
  </si>
  <si>
    <t xml:space="preserve">Yumbo</t>
  </si>
  <si>
    <t xml:space="preserve">Dabeiba</t>
  </si>
  <si>
    <t xml:space="preserve">Tiquisio</t>
  </si>
  <si>
    <t xml:space="preserve">Guayatá</t>
  </si>
  <si>
    <t xml:space="preserve">Villa Rica</t>
  </si>
  <si>
    <t xml:space="preserve">Guatavita</t>
  </si>
  <si>
    <t xml:space="preserve">Ospina</t>
  </si>
  <si>
    <t xml:space="preserve">Hato</t>
  </si>
  <si>
    <t xml:space="preserve">Santa Isabel</t>
  </si>
  <si>
    <t xml:space="preserve">Zarzal</t>
  </si>
  <si>
    <t xml:space="preserve">Donmatías</t>
  </si>
  <si>
    <t xml:space="preserve">Turbaco</t>
  </si>
  <si>
    <t xml:space="preserve">Güicán De La Sierra</t>
  </si>
  <si>
    <t xml:space="preserve">Guayabal De Síquima</t>
  </si>
  <si>
    <t xml:space="preserve">Francisco Pizarro</t>
  </si>
  <si>
    <t xml:space="preserve">Jesús María</t>
  </si>
  <si>
    <t xml:space="preserve">Ebéjico</t>
  </si>
  <si>
    <t xml:space="preserve">Turbana</t>
  </si>
  <si>
    <t xml:space="preserve">Iza</t>
  </si>
  <si>
    <t xml:space="preserve">Guayabetal</t>
  </si>
  <si>
    <t xml:space="preserve">Policarpa</t>
  </si>
  <si>
    <t xml:space="preserve">Jordán</t>
  </si>
  <si>
    <t xml:space="preserve">Valle De San Juan</t>
  </si>
  <si>
    <t xml:space="preserve">El Bagre</t>
  </si>
  <si>
    <t xml:space="preserve">Jenesano</t>
  </si>
  <si>
    <t xml:space="preserve">Gutiérrez</t>
  </si>
  <si>
    <t xml:space="preserve">Potosí</t>
  </si>
  <si>
    <t xml:space="preserve">La Belleza</t>
  </si>
  <si>
    <t xml:space="preserve">Venadillo</t>
  </si>
  <si>
    <t xml:space="preserve">Entrerríos</t>
  </si>
  <si>
    <t xml:space="preserve">Zambrano</t>
  </si>
  <si>
    <t xml:space="preserve">Jericó</t>
  </si>
  <si>
    <t xml:space="preserve">Jerusalén</t>
  </si>
  <si>
    <t xml:space="preserve">Landázuri</t>
  </si>
  <si>
    <t xml:space="preserve">Villahermosa</t>
  </si>
  <si>
    <t xml:space="preserve">Envigado</t>
  </si>
  <si>
    <t xml:space="preserve">Labranzagrande</t>
  </si>
  <si>
    <t xml:space="preserve">Junín</t>
  </si>
  <si>
    <t xml:space="preserve">Puerres</t>
  </si>
  <si>
    <t xml:space="preserve">Villarrica</t>
  </si>
  <si>
    <t xml:space="preserve">Fredonia</t>
  </si>
  <si>
    <t xml:space="preserve">La Capilla</t>
  </si>
  <si>
    <t xml:space="preserve">La Calera</t>
  </si>
  <si>
    <t xml:space="preserve">Pupiales</t>
  </si>
  <si>
    <t xml:space="preserve">Lebrija</t>
  </si>
  <si>
    <t xml:space="preserve">Frontino</t>
  </si>
  <si>
    <t xml:space="preserve">La Mesa</t>
  </si>
  <si>
    <t xml:space="preserve">Ricaurte</t>
  </si>
  <si>
    <t xml:space="preserve">Los Santos</t>
  </si>
  <si>
    <t xml:space="preserve">Giraldo</t>
  </si>
  <si>
    <t xml:space="preserve">La Uvita</t>
  </si>
  <si>
    <t xml:space="preserve">La Palma</t>
  </si>
  <si>
    <t xml:space="preserve">Roberto Payán</t>
  </si>
  <si>
    <t xml:space="preserve">Macaravita</t>
  </si>
  <si>
    <t xml:space="preserve">Girardota</t>
  </si>
  <si>
    <t xml:space="preserve">Villa De Leyva</t>
  </si>
  <si>
    <t xml:space="preserve">La Peña</t>
  </si>
  <si>
    <t xml:space="preserve">Samaniego</t>
  </si>
  <si>
    <t xml:space="preserve">Málaga</t>
  </si>
  <si>
    <t xml:space="preserve">Gómez Plata</t>
  </si>
  <si>
    <t xml:space="preserve">Macanal</t>
  </si>
  <si>
    <t xml:space="preserve">Sandoná</t>
  </si>
  <si>
    <t xml:space="preserve">Matanza</t>
  </si>
  <si>
    <t xml:space="preserve">Maripí</t>
  </si>
  <si>
    <t xml:space="preserve">Lenguazaque</t>
  </si>
  <si>
    <t xml:space="preserve">San Bernardo</t>
  </si>
  <si>
    <t xml:space="preserve">Mogotes</t>
  </si>
  <si>
    <t xml:space="preserve">Machetá</t>
  </si>
  <si>
    <t xml:space="preserve">San Lorenzo</t>
  </si>
  <si>
    <t xml:space="preserve">Molagavita</t>
  </si>
  <si>
    <t xml:space="preserve">Guarne</t>
  </si>
  <si>
    <t xml:space="preserve">Mongua</t>
  </si>
  <si>
    <t xml:space="preserve">Madrid</t>
  </si>
  <si>
    <t xml:space="preserve">Ocamonte</t>
  </si>
  <si>
    <t xml:space="preserve">Guatapé</t>
  </si>
  <si>
    <t xml:space="preserve">Monguí</t>
  </si>
  <si>
    <t xml:space="preserve">Manta</t>
  </si>
  <si>
    <t xml:space="preserve">San Pedro De Cartago</t>
  </si>
  <si>
    <t xml:space="preserve">Oiba</t>
  </si>
  <si>
    <t xml:space="preserve">Heliconia</t>
  </si>
  <si>
    <t xml:space="preserve">Moniquirá</t>
  </si>
  <si>
    <t xml:space="preserve">Medina</t>
  </si>
  <si>
    <t xml:space="preserve">Santa Bárbara</t>
  </si>
  <si>
    <t xml:space="preserve">Onzaga</t>
  </si>
  <si>
    <t xml:space="preserve">Hispania</t>
  </si>
  <si>
    <t xml:space="preserve">Motavita</t>
  </si>
  <si>
    <t xml:space="preserve">Santacruz</t>
  </si>
  <si>
    <t xml:space="preserve">Palmar</t>
  </si>
  <si>
    <t xml:space="preserve">Itagüí</t>
  </si>
  <si>
    <t xml:space="preserve">Muzo</t>
  </si>
  <si>
    <t xml:space="preserve">Sapuyes</t>
  </si>
  <si>
    <t xml:space="preserve">Palmas Del Socorro</t>
  </si>
  <si>
    <t xml:space="preserve">Ituango</t>
  </si>
  <si>
    <t xml:space="preserve">Nobsa</t>
  </si>
  <si>
    <t xml:space="preserve">Nemocón</t>
  </si>
  <si>
    <t xml:space="preserve">Taminango</t>
  </si>
  <si>
    <t xml:space="preserve">Páramo</t>
  </si>
  <si>
    <t xml:space="preserve">Jardín</t>
  </si>
  <si>
    <t xml:space="preserve">Nuevo Colón</t>
  </si>
  <si>
    <t xml:space="preserve">Nilo</t>
  </si>
  <si>
    <t xml:space="preserve">Tangua</t>
  </si>
  <si>
    <t xml:space="preserve">Piedecuesta</t>
  </si>
  <si>
    <t xml:space="preserve">Oicatá</t>
  </si>
  <si>
    <t xml:space="preserve">Nimaima</t>
  </si>
  <si>
    <t xml:space="preserve">San Andrés De Tumaco</t>
  </si>
  <si>
    <t xml:space="preserve">Pinchote</t>
  </si>
  <si>
    <t xml:space="preserve">La Ceja</t>
  </si>
  <si>
    <t xml:space="preserve">Otanche</t>
  </si>
  <si>
    <t xml:space="preserve">Nocaima</t>
  </si>
  <si>
    <t xml:space="preserve">Túquerres</t>
  </si>
  <si>
    <t xml:space="preserve">Puente Nacional</t>
  </si>
  <si>
    <t xml:space="preserve">La Estrella</t>
  </si>
  <si>
    <t xml:space="preserve">Pachavita</t>
  </si>
  <si>
    <t xml:space="preserve">Venecia</t>
  </si>
  <si>
    <t xml:space="preserve">Yacuanquer</t>
  </si>
  <si>
    <t xml:space="preserve">Puerto Parra</t>
  </si>
  <si>
    <t xml:space="preserve">La Pintada</t>
  </si>
  <si>
    <t xml:space="preserve">Pacho</t>
  </si>
  <si>
    <t xml:space="preserve">Puerto Wilches</t>
  </si>
  <si>
    <t xml:space="preserve">Paipa</t>
  </si>
  <si>
    <t xml:space="preserve">Paime</t>
  </si>
  <si>
    <t xml:space="preserve">Rionegro</t>
  </si>
  <si>
    <t xml:space="preserve">Liborina</t>
  </si>
  <si>
    <t xml:space="preserve">Pajarito</t>
  </si>
  <si>
    <t xml:space="preserve">Pandi</t>
  </si>
  <si>
    <t xml:space="preserve">Sabana De Torres</t>
  </si>
  <si>
    <t xml:space="preserve">Maceo</t>
  </si>
  <si>
    <t xml:space="preserve">Panqueba</t>
  </si>
  <si>
    <t xml:space="preserve">Paratebueno</t>
  </si>
  <si>
    <t xml:space="preserve">Marinilla</t>
  </si>
  <si>
    <t xml:space="preserve">Pauna</t>
  </si>
  <si>
    <t xml:space="preserve">Pasca</t>
  </si>
  <si>
    <t xml:space="preserve">San Benito</t>
  </si>
  <si>
    <t xml:space="preserve">Montebello</t>
  </si>
  <si>
    <t xml:space="preserve">Paya</t>
  </si>
  <si>
    <t xml:space="preserve">Puerto Salgar</t>
  </si>
  <si>
    <t xml:space="preserve">San Gil</t>
  </si>
  <si>
    <t xml:space="preserve">Murindó</t>
  </si>
  <si>
    <t xml:space="preserve">Paz De Río</t>
  </si>
  <si>
    <t xml:space="preserve">Pulí</t>
  </si>
  <si>
    <t xml:space="preserve">San Joaquín</t>
  </si>
  <si>
    <t xml:space="preserve">Mutatá</t>
  </si>
  <si>
    <t xml:space="preserve">Pesca</t>
  </si>
  <si>
    <t xml:space="preserve">Quebradanegra</t>
  </si>
  <si>
    <t xml:space="preserve">San José De Miranda</t>
  </si>
  <si>
    <t xml:space="preserve">Pisba</t>
  </si>
  <si>
    <t xml:space="preserve">Quetame</t>
  </si>
  <si>
    <t xml:space="preserve">Necoclí</t>
  </si>
  <si>
    <t xml:space="preserve">Puerto Boyacá</t>
  </si>
  <si>
    <t xml:space="preserve">Quipile</t>
  </si>
  <si>
    <t xml:space="preserve">San Vicente De Chucurí</t>
  </si>
  <si>
    <t xml:space="preserve">Nechí</t>
  </si>
  <si>
    <t xml:space="preserve">Quípama</t>
  </si>
  <si>
    <t xml:space="preserve">Apulo</t>
  </si>
  <si>
    <t xml:space="preserve">Olaya</t>
  </si>
  <si>
    <t xml:space="preserve">Ramiriquí</t>
  </si>
  <si>
    <t xml:space="preserve">Santa Helena Del Opón</t>
  </si>
  <si>
    <t xml:space="preserve">Peñol</t>
  </si>
  <si>
    <t xml:space="preserve">Ráquira</t>
  </si>
  <si>
    <t xml:space="preserve">San Antonio Del Tequendama</t>
  </si>
  <si>
    <t xml:space="preserve">Simacota</t>
  </si>
  <si>
    <t xml:space="preserve">Peque</t>
  </si>
  <si>
    <t xml:space="preserve">Rondón</t>
  </si>
  <si>
    <t xml:space="preserve">Socorro</t>
  </si>
  <si>
    <t xml:space="preserve">Pueblorrico</t>
  </si>
  <si>
    <t xml:space="preserve">Saboyá</t>
  </si>
  <si>
    <t xml:space="preserve">Suaita</t>
  </si>
  <si>
    <t xml:space="preserve">Puerto Berrío</t>
  </si>
  <si>
    <t xml:space="preserve">Sáchica</t>
  </si>
  <si>
    <t xml:space="preserve">Puerto Nare</t>
  </si>
  <si>
    <t xml:space="preserve">Samacá</t>
  </si>
  <si>
    <t xml:space="preserve">San Juan De Rioseco</t>
  </si>
  <si>
    <t xml:space="preserve">Suratá</t>
  </si>
  <si>
    <t xml:space="preserve">Puerto Triunfo</t>
  </si>
  <si>
    <t xml:space="preserve">San Eduardo</t>
  </si>
  <si>
    <t xml:space="preserve">Sasaima</t>
  </si>
  <si>
    <t xml:space="preserve">Tona</t>
  </si>
  <si>
    <t xml:space="preserve">Remedios</t>
  </si>
  <si>
    <t xml:space="preserve">San José De Pare</t>
  </si>
  <si>
    <t xml:space="preserve">Sesquilé</t>
  </si>
  <si>
    <t xml:space="preserve">Valle De San José</t>
  </si>
  <si>
    <t xml:space="preserve">Retiro</t>
  </si>
  <si>
    <t xml:space="preserve">San Luis De Gaceno</t>
  </si>
  <si>
    <t xml:space="preserve">Sibaté</t>
  </si>
  <si>
    <t xml:space="preserve">Vélez</t>
  </si>
  <si>
    <t xml:space="preserve">San Mateo</t>
  </si>
  <si>
    <t xml:space="preserve">Silvania</t>
  </si>
  <si>
    <t xml:space="preserve">Vetas</t>
  </si>
  <si>
    <t xml:space="preserve">San Miguel De Sema</t>
  </si>
  <si>
    <t xml:space="preserve">Simijaca</t>
  </si>
  <si>
    <t xml:space="preserve">Sabaneta</t>
  </si>
  <si>
    <t xml:space="preserve">San Pablo De Borbur</t>
  </si>
  <si>
    <t xml:space="preserve">Soacha</t>
  </si>
  <si>
    <t xml:space="preserve">Zapatoca</t>
  </si>
  <si>
    <t xml:space="preserve">Salgar</t>
  </si>
  <si>
    <t xml:space="preserve">Santana</t>
  </si>
  <si>
    <t xml:space="preserve">Sopó</t>
  </si>
  <si>
    <t xml:space="preserve">San Andrés De Cuerquía</t>
  </si>
  <si>
    <t xml:space="preserve">Subachoque</t>
  </si>
  <si>
    <t xml:space="preserve">Santa Rosa De Viterbo</t>
  </si>
  <si>
    <t xml:space="preserve">Suesca</t>
  </si>
  <si>
    <t xml:space="preserve">Santa Sofía</t>
  </si>
  <si>
    <t xml:space="preserve">Supatá</t>
  </si>
  <si>
    <t xml:space="preserve">San Jerónimo</t>
  </si>
  <si>
    <t xml:space="preserve">Sativanorte</t>
  </si>
  <si>
    <t xml:space="preserve">Susa</t>
  </si>
  <si>
    <t xml:space="preserve">San José De La Montaña</t>
  </si>
  <si>
    <t xml:space="preserve">Sativasur</t>
  </si>
  <si>
    <t xml:space="preserve">Sutatausa</t>
  </si>
  <si>
    <t xml:space="preserve">San Juan De Urabá</t>
  </si>
  <si>
    <t xml:space="preserve">Siachoque</t>
  </si>
  <si>
    <t xml:space="preserve">Tabio</t>
  </si>
  <si>
    <t xml:space="preserve">Soatá</t>
  </si>
  <si>
    <t xml:space="preserve">Tausa</t>
  </si>
  <si>
    <t xml:space="preserve">San Pedro De Los Milagros</t>
  </si>
  <si>
    <t xml:space="preserve">Socotá</t>
  </si>
  <si>
    <t xml:space="preserve">Tena</t>
  </si>
  <si>
    <t xml:space="preserve">San Pedro De Urabá</t>
  </si>
  <si>
    <t xml:space="preserve">Socha</t>
  </si>
  <si>
    <t xml:space="preserve">Tenjo</t>
  </si>
  <si>
    <t xml:space="preserve">San Rafael</t>
  </si>
  <si>
    <t xml:space="preserve">Sogamoso</t>
  </si>
  <si>
    <t xml:space="preserve">Tibacuy</t>
  </si>
  <si>
    <t xml:space="preserve">San Roque</t>
  </si>
  <si>
    <t xml:space="preserve">Somondoco</t>
  </si>
  <si>
    <t xml:space="preserve">Tibirita</t>
  </si>
  <si>
    <t xml:space="preserve">San Vicente Ferrer</t>
  </si>
  <si>
    <t xml:space="preserve">Sora</t>
  </si>
  <si>
    <t xml:space="preserve">Tocaima</t>
  </si>
  <si>
    <t xml:space="preserve">Sotaquirá</t>
  </si>
  <si>
    <t xml:space="preserve">Tocancipá</t>
  </si>
  <si>
    <t xml:space="preserve">Santa Rosa De Osos</t>
  </si>
  <si>
    <t xml:space="preserve">Soracá</t>
  </si>
  <si>
    <t xml:space="preserve">Topaipí</t>
  </si>
  <si>
    <t xml:space="preserve">Santo Domingo</t>
  </si>
  <si>
    <t xml:space="preserve">Susacón</t>
  </si>
  <si>
    <t xml:space="preserve">Ubalá</t>
  </si>
  <si>
    <t xml:space="preserve">El Santuario</t>
  </si>
  <si>
    <t xml:space="preserve">Sutamarchán</t>
  </si>
  <si>
    <t xml:space="preserve">Ubaque</t>
  </si>
  <si>
    <t xml:space="preserve">Segovia</t>
  </si>
  <si>
    <t xml:space="preserve">Sutatenza</t>
  </si>
  <si>
    <t xml:space="preserve">Villa De San Diego De Ubaté</t>
  </si>
  <si>
    <t xml:space="preserve">Sonsón</t>
  </si>
  <si>
    <t xml:space="preserve">Tasco</t>
  </si>
  <si>
    <t xml:space="preserve">Une</t>
  </si>
  <si>
    <t xml:space="preserve">Sopetrán</t>
  </si>
  <si>
    <t xml:space="preserve">Tenza</t>
  </si>
  <si>
    <t xml:space="preserve">Útica</t>
  </si>
  <si>
    <t xml:space="preserve">Támesis</t>
  </si>
  <si>
    <t xml:space="preserve">Tibaná</t>
  </si>
  <si>
    <t xml:space="preserve">Vergara</t>
  </si>
  <si>
    <t xml:space="preserve">Tarazá</t>
  </si>
  <si>
    <t xml:space="preserve">Tibasosa</t>
  </si>
  <si>
    <t xml:space="preserve">Vianí</t>
  </si>
  <si>
    <t xml:space="preserve">Tarso</t>
  </si>
  <si>
    <t xml:space="preserve">Tinjacá</t>
  </si>
  <si>
    <t xml:space="preserve">Villagómez</t>
  </si>
  <si>
    <t xml:space="preserve">Titiribí</t>
  </si>
  <si>
    <t xml:space="preserve">Tipacoque</t>
  </si>
  <si>
    <t xml:space="preserve">Villapinzón</t>
  </si>
  <si>
    <t xml:space="preserve">Toca</t>
  </si>
  <si>
    <t xml:space="preserve">Villeta</t>
  </si>
  <si>
    <t xml:space="preserve">Turbo</t>
  </si>
  <si>
    <t xml:space="preserve">Togüí</t>
  </si>
  <si>
    <t xml:space="preserve">Viotá</t>
  </si>
  <si>
    <t xml:space="preserve">Uramita</t>
  </si>
  <si>
    <t xml:space="preserve">Tópaga</t>
  </si>
  <si>
    <t xml:space="preserve">Yacopí</t>
  </si>
  <si>
    <t xml:space="preserve">Urrao</t>
  </si>
  <si>
    <t xml:space="preserve">Tota</t>
  </si>
  <si>
    <t xml:space="preserve">Zipacón</t>
  </si>
  <si>
    <t xml:space="preserve">Valdivia</t>
  </si>
  <si>
    <t xml:space="preserve">Tununguá</t>
  </si>
  <si>
    <t xml:space="preserve">Zipaquirá</t>
  </si>
  <si>
    <t xml:space="preserve">Turmequé</t>
  </si>
  <si>
    <t xml:space="preserve">Vegachí</t>
  </si>
  <si>
    <t xml:space="preserve">Tuta</t>
  </si>
  <si>
    <t xml:space="preserve">Tutazá</t>
  </si>
  <si>
    <t xml:space="preserve">Vigía Del Fuerte</t>
  </si>
  <si>
    <t xml:space="preserve">Úmbita</t>
  </si>
  <si>
    <t xml:space="preserve">Yalí</t>
  </si>
  <si>
    <t xml:space="preserve">Ventaquemada</t>
  </si>
  <si>
    <t xml:space="preserve">Yarumal</t>
  </si>
  <si>
    <t xml:space="preserve">Viracachá</t>
  </si>
  <si>
    <t xml:space="preserve">Yolombó</t>
  </si>
  <si>
    <t xml:space="preserve">Zetaquira</t>
  </si>
  <si>
    <t xml:space="preserve">Yondó</t>
  </si>
  <si>
    <t xml:space="preserve">Zaragoza</t>
  </si>
  <si>
    <t xml:space="preserve">TIPO_PN</t>
  </si>
  <si>
    <t xml:space="preserve">ECONOMÍA_CAMPESINA</t>
  </si>
  <si>
    <t xml:space="preserve">MULTISECTORIAL</t>
  </si>
  <si>
    <t xml:space="preserve">TODOS_LOS_SECTORES</t>
  </si>
  <si>
    <t xml:space="preserve">AGROPECUARIO</t>
  </si>
  <si>
    <t xml:space="preserve">AGRICULTURA_GANADERÍA_CAZA_SILVICULTURA_Y_PESCA</t>
  </si>
  <si>
    <t xml:space="preserve">AGROINDUSTRIA</t>
  </si>
  <si>
    <t xml:space="preserve">EXPLOTACIÓN_DE_MINAS_Y_CANTERAS</t>
  </si>
  <si>
    <t xml:space="preserve">ARTESANÍAS</t>
  </si>
  <si>
    <t xml:space="preserve">INDUSTRIAS_MANUFACTURERAS</t>
  </si>
  <si>
    <t xml:space="preserve">TURISMO</t>
  </si>
  <si>
    <t xml:space="preserve">SUMINISTRO_DE_ELECTRICIDAD_GAS_VAPOR_Y_AIRE_ACONDICIONADO</t>
  </si>
  <si>
    <t xml:space="preserve">MEDIO_AMBIENTE</t>
  </si>
  <si>
    <t xml:space="preserve">DISTRIBUCIÓN_DE_AGUA_EVACUACIÓN_Y_TRATAMIENTO_DE_AGUAS_RESIDUALES_GESTIÓN_DE_DESECHOS_Y_ACTIVIDADES_DE_SANEAMIENTO_AMBIENTAL</t>
  </si>
  <si>
    <t xml:space="preserve">COMERCIO_EC</t>
  </si>
  <si>
    <t xml:space="preserve">CONSTRUCCIÓN</t>
  </si>
  <si>
    <t xml:space="preserve">COMERCIO_AL_POR_MAYOR_Y_AL_POR_MENOR_REPARACIÓN_DE_VEHÍCULOS_AUTOMOTORES_Y_MOTOCICLETAS</t>
  </si>
  <si>
    <t xml:space="preserve">TRANSPORTE_Y_ALMACENAMIENTO</t>
  </si>
  <si>
    <t xml:space="preserve">ALOJAMIENTO_Y_SERVICIOS_DE_COMIDA</t>
  </si>
  <si>
    <t xml:space="preserve">INFORMACIÓN_Y_COMUNICACIONES</t>
  </si>
  <si>
    <t xml:space="preserve">ACTIVIDADES_FINANCIERAS_Y_DE_SEGUROS</t>
  </si>
  <si>
    <t xml:space="preserve">ACTIVIDADES_INMOBILIARIAS</t>
  </si>
  <si>
    <t xml:space="preserve">ACTIVIDADES_PROFESIONALES_CIENTÍFICAS_Y_TÉCNICAS</t>
  </si>
  <si>
    <t xml:space="preserve">ACTIVIDADES_DE_SERVICIOS_ADMINISTRATIVOS_Y_DE_APOYO</t>
  </si>
  <si>
    <t xml:space="preserve">ADMINISTRACIÓN_PÚBLICA_Y_DEFENSA_PLANES_DE_SEGURIDAD_SOCIAL_DE_AFILIACIÓN_OBLIGATORIA</t>
  </si>
  <si>
    <t xml:space="preserve">EDUCACIÓN</t>
  </si>
  <si>
    <t xml:space="preserve">ACTIVIDADES_DE_ATENCIÓN_DE_LA_SALUD_HUMANA_Y_DE_ASISTENCIA_SOCIAL</t>
  </si>
  <si>
    <t xml:space="preserve">ACTIVIDADES_ARTÍSTICAS_DE_ENTRETENIMIENTO_Y_RECREACIÓN</t>
  </si>
  <si>
    <t xml:space="preserve">OTRAS_ACTIVIDADES_DE_SERVICIOS</t>
  </si>
  <si>
    <t xml:space="preserve">|</t>
  </si>
  <si>
    <r>
      <rPr>
        <sz val="10"/>
        <rFont val="Arial"/>
        <family val="2"/>
      </rPr>
      <t xml:space="preserve">0111 Cultivo de cereales (excepto arroz), legumbres y semillas oleaginosas</t>
    </r>
    <r>
      <rPr>
        <b val="true"/>
        <sz val="10"/>
        <rFont val="Arial"/>
        <family val="2"/>
      </rPr>
      <t xml:space="preserve"> </t>
    </r>
  </si>
  <si>
    <t xml:space="preserve">1011 Procesamiento y conservación de carne y productos cárnicos</t>
  </si>
  <si>
    <t xml:space="preserve">1311 Preparación e hilatura de fibras textiles</t>
  </si>
  <si>
    <t xml:space="preserve">5514 Alojamiento rural</t>
  </si>
  <si>
    <t xml:space="preserve">3600 Captación, tratamiento y distribución de agua</t>
  </si>
  <si>
    <t xml:space="preserve">4620 Comercio al por mayor de materias primas agropecuarias; animales vivos</t>
  </si>
  <si>
    <r>
      <rPr>
        <sz val="10"/>
        <rFont val="Arial"/>
        <family val="2"/>
      </rPr>
      <t xml:space="preserve">0112 Cultivo de arroz</t>
    </r>
    <r>
      <rPr>
        <b val="true"/>
        <sz val="10"/>
        <rFont val="Arial"/>
        <family val="2"/>
      </rPr>
      <t xml:space="preserve"> </t>
    </r>
  </si>
  <si>
    <t xml:space="preserve">1012 Procesamiento y conservación de pescados, crustáceos y moluscos</t>
  </si>
  <si>
    <t xml:space="preserve">1312 Tejeduría de productos textiles</t>
  </si>
  <si>
    <t xml:space="preserve">5519 Otros tipos de alojamientos para visitantes</t>
  </si>
  <si>
    <t xml:space="preserve">3700 Evacuación y tratamiento de aguas residuales</t>
  </si>
  <si>
    <t xml:space="preserve">463 Comercio al por mayor de alimentos, bebidas y tabaco</t>
  </si>
  <si>
    <r>
      <rPr>
        <sz val="10"/>
        <rFont val="Arial"/>
        <family val="2"/>
      </rPr>
      <t xml:space="preserve">0113 Cultivo de hortalizas, raíces y tubérculos</t>
    </r>
    <r>
      <rPr>
        <b val="true"/>
        <sz val="10"/>
        <rFont val="Arial"/>
        <family val="2"/>
      </rPr>
      <t xml:space="preserve"> </t>
    </r>
  </si>
  <si>
    <t xml:space="preserve">1020 Procesamiento y conservación de frutas, legumbres, hortalizas y tubérculos</t>
  </si>
  <si>
    <t xml:space="preserve">1313 Acabado de productos textiles</t>
  </si>
  <si>
    <t xml:space="preserve">5520 Actividades de zonas de camping y parques para vehículos recreacionales</t>
  </si>
  <si>
    <t xml:space="preserve">3811 Recolección de desechos no peligrosos</t>
  </si>
  <si>
    <t xml:space="preserve">4631 Comercio al por mayor de productos alimenticios</t>
  </si>
  <si>
    <r>
      <rPr>
        <sz val="10"/>
        <rFont val="Arial"/>
        <family val="2"/>
      </rPr>
      <t xml:space="preserve">0114 Cultivo de tabaco</t>
    </r>
    <r>
      <rPr>
        <b val="true"/>
        <sz val="10"/>
        <rFont val="Arial"/>
        <family val="2"/>
      </rPr>
      <t xml:space="preserve"> </t>
    </r>
  </si>
  <si>
    <t xml:space="preserve">1030 Elaboración de aceites y grasas de origen vegetal y animal</t>
  </si>
  <si>
    <t xml:space="preserve">1391 Fabricación de tejidos de punto y ganchillo</t>
  </si>
  <si>
    <t xml:space="preserve">5590 Otros tipos de alojamiento n.c.p.</t>
  </si>
  <si>
    <t xml:space="preserve">3812 Recolección de desechos peligrosos</t>
  </si>
  <si>
    <t xml:space="preserve">4711 Comercio al por menor en establecimientos no especializados con surtido compuesto principalmente por alimentos, bebidas o tabaco</t>
  </si>
  <si>
    <r>
      <rPr>
        <sz val="10"/>
        <rFont val="Arial"/>
        <family val="2"/>
      </rPr>
      <t xml:space="preserve">0115 Cultivo de plantas textiles</t>
    </r>
    <r>
      <rPr>
        <b val="true"/>
        <sz val="10"/>
        <rFont val="Arial"/>
        <family val="2"/>
      </rPr>
      <t xml:space="preserve"> </t>
    </r>
  </si>
  <si>
    <t xml:space="preserve">1040 Elaboración de productos lácteos</t>
  </si>
  <si>
    <t xml:space="preserve">1392 Confección de artículos con materiales textiles, excepto prendas de vestir</t>
  </si>
  <si>
    <t xml:space="preserve">5611 Expendio a la mesa de comidas preparadas</t>
  </si>
  <si>
    <t xml:space="preserve">3821 Tratamiento y disposición de desechos no peligrosos</t>
  </si>
  <si>
    <t xml:space="preserve">4721 Comercio al por menor de productos agrícolas para el consumo en establecimientos especializados</t>
  </si>
  <si>
    <t xml:space="preserve">0119 Otros cultivos transitorios n.c.p.</t>
  </si>
  <si>
    <t xml:space="preserve">1051 Elaboración de productos de molinería</t>
  </si>
  <si>
    <t xml:space="preserve">1393 Fabricación de tapetes y alfombras para pisos</t>
  </si>
  <si>
    <t xml:space="preserve">5612 Expendio por autoservicio de comidas preparadas</t>
  </si>
  <si>
    <t xml:space="preserve">3830 Recuperación de materiales</t>
  </si>
  <si>
    <t xml:space="preserve">4722 Comercio al por menor de leche, productos lácteos y huevos, en establecimientos especializados</t>
  </si>
  <si>
    <t xml:space="preserve">0121 Cultivo de frutas tropicales y subtropicales</t>
  </si>
  <si>
    <t xml:space="preserve">1052 Elaboración de almidones y productos derivados del almidón</t>
  </si>
  <si>
    <t xml:space="preserve">1394 Fabricación de cuerdas, cordeles, cables, bramantes y redes</t>
  </si>
  <si>
    <t xml:space="preserve">5619 Otros tipos de expendio de comidas preparadas n.c.p.</t>
  </si>
  <si>
    <t xml:space="preserve">3900 Actividades de saneamiento ambiental y otros servicios de gestión de desechos</t>
  </si>
  <si>
    <t xml:space="preserve">4723 Comercio al por menor de carnes (incluye aves de corral), productos cárnicos, pescados y productos de mar, en establecimientos especializados</t>
  </si>
  <si>
    <t xml:space="preserve">0122 Cultivo de plátano y banano</t>
  </si>
  <si>
    <t xml:space="preserve">1061 Trilla de café</t>
  </si>
  <si>
    <t xml:space="preserve">1399 Fabricación de otros artículos textiles n.c.p.</t>
  </si>
  <si>
    <t xml:space="preserve">5629 Actividades de otros servicios de comidas</t>
  </si>
  <si>
    <t xml:space="preserve">0123 Cultivo de café</t>
  </si>
  <si>
    <t xml:space="preserve">1062 Descafeinado, tostión y molienda del café</t>
  </si>
  <si>
    <t xml:space="preserve">1410 Confección de prendas de vestir, excepto prendas de piel</t>
  </si>
  <si>
    <t xml:space="preserve">0124 Cultivo de caña de azúcar</t>
  </si>
  <si>
    <t xml:space="preserve">1063 Otros derivados del café</t>
  </si>
  <si>
    <t xml:space="preserve">1420 Fabricación de artículos de piel</t>
  </si>
  <si>
    <t xml:space="preserve">0125 Cultivo de flor de corte</t>
  </si>
  <si>
    <t xml:space="preserve">1071 Elaboración y refinación de azúcar</t>
  </si>
  <si>
    <t xml:space="preserve">1430 Fabricación de artículos de punto y ganchillo</t>
  </si>
  <si>
    <t xml:space="preserve">0126 Cultivo de palma para aceite (palma africana) y otros frutos oleaginosos</t>
  </si>
  <si>
    <t xml:space="preserve">1072 Elaboración de panela</t>
  </si>
  <si>
    <t xml:space="preserve">1511 Curtido y recurtido de cueros; recurtido y teñido de pieles</t>
  </si>
  <si>
    <t xml:space="preserve">0127 Cultivo de plantas con las que se preparan bebidas</t>
  </si>
  <si>
    <t xml:space="preserve">1081 Elaboración de productos de panadería</t>
  </si>
  <si>
    <t xml:space="preserve">1512 Fabricación de artículos de viaje, bolsos de mano y artículos similares elaborados en cuero, y fabricación de artículos de talabartería y guarnicionería</t>
  </si>
  <si>
    <t xml:space="preserve">0128 Cultivo de especias y de plantas aromáticas y medicinales </t>
  </si>
  <si>
    <t xml:space="preserve">1082 Elaboración de cacao, chocolate y productos de confitería</t>
  </si>
  <si>
    <t xml:space="preserve">1513 Fabricación de artículos de viaje, bolsos de mano y artículos similares; artículos de talabartería y guarnicionería elaborados en otros materiales</t>
  </si>
  <si>
    <t xml:space="preserve">0129 Otros cultivos permanentes n.c.p.</t>
  </si>
  <si>
    <t xml:space="preserve">1083 Elaboración de macarrones, fideos, alcuzcuz y productos farináceos similares</t>
  </si>
  <si>
    <t xml:space="preserve">1521 Fabricación de calzado de cuero y piel, con cualquier tipo de suela</t>
  </si>
  <si>
    <t xml:space="preserve">0130 Propagación de plantas (actividades de los viveros, excepto viveros forestales) </t>
  </si>
  <si>
    <t xml:space="preserve">1084 Elaboración de comidas y platos preparados</t>
  </si>
  <si>
    <t xml:space="preserve">1522 Fabricación de otros tipos de calzado, excepto calzado de cuero y piel</t>
  </si>
  <si>
    <t xml:space="preserve">0141 Cría de ganado bovino y bufalino</t>
  </si>
  <si>
    <t xml:space="preserve">1089 Elaboración de otros productos alimenticios n.c.p.</t>
  </si>
  <si>
    <t xml:space="preserve">1523 Fabricación de partes del calzado</t>
  </si>
  <si>
    <t xml:space="preserve">0142 Cría de caballos y otros equinos </t>
  </si>
  <si>
    <t xml:space="preserve">1090 Elaboración de alimentos preparados para animales</t>
  </si>
  <si>
    <t xml:space="preserve">1640 Fabricación de recipientes de madera</t>
  </si>
  <si>
    <t xml:space="preserve">0143 Cría de ovejas y cabras </t>
  </si>
  <si>
    <t xml:space="preserve">1102 Elaboración de bebidas fermentadas no destiladas</t>
  </si>
  <si>
    <t xml:space="preserve">2392 Fabricación de materiales de arcilla para la construcción</t>
  </si>
  <si>
    <t xml:space="preserve">0144 Cría de ganado porcino</t>
  </si>
  <si>
    <t xml:space="preserve">1103 Producción de malta, elaboración de cervezas y otras bebidas malteadas</t>
  </si>
  <si>
    <t xml:space="preserve">2393 Fabricación de otros productos de cerámica y porcelana</t>
  </si>
  <si>
    <t xml:space="preserve">0145 Cría de aves de corral</t>
  </si>
  <si>
    <t xml:space="preserve">1104 Elaboración de bebidas no alcohólicas, producción de aguas minerales y de otras aguas embotelladas</t>
  </si>
  <si>
    <t xml:space="preserve">2396 Corte, tallado y acabado de la piedra</t>
  </si>
  <si>
    <t xml:space="preserve">0149 Cría de otros animales n.c.p.</t>
  </si>
  <si>
    <t xml:space="preserve">0150 Explotación mixta (agrícola y pecuaria) </t>
  </si>
  <si>
    <t xml:space="preserve">0161 Actividades de apoyo a la agricultura </t>
  </si>
  <si>
    <t xml:space="preserve">0162 Actividades de apoyo a la ganadería</t>
  </si>
  <si>
    <t xml:space="preserve">0163 Actividades posteriores a la cosecha </t>
  </si>
  <si>
    <t xml:space="preserve">0164 Tratamiento de semillas para propagación </t>
  </si>
  <si>
    <t xml:space="preserve">0170 Caza ordinaria y mediante trampas y actividades de servicios conexas </t>
  </si>
  <si>
    <t xml:space="preserve">0210 Silvicultura y otras actividades forestales</t>
  </si>
  <si>
    <t xml:space="preserve">0220 Extracción de madera </t>
  </si>
  <si>
    <t xml:space="preserve">0230 Recolección de productos forestales diferentes a la madera</t>
  </si>
  <si>
    <t xml:space="preserve">0240 Servicios de apoyo a la silvicultura </t>
  </si>
  <si>
    <t xml:space="preserve">0311 Pesca marítima </t>
  </si>
  <si>
    <t xml:space="preserve">0312 Pesca de agua dulce </t>
  </si>
  <si>
    <t xml:space="preserve">0321 Acuicultura marítima </t>
  </si>
  <si>
    <t xml:space="preserve">0322 Acuicultura de agua dulce</t>
  </si>
  <si>
    <t xml:space="preserve">0510 Extracción de hulla (carbón de piedra)</t>
  </si>
  <si>
    <t xml:space="preserve">3511 Generación de energía eléctrica</t>
  </si>
  <si>
    <t xml:space="preserve">4111 Construcción de edificios residenciales</t>
  </si>
  <si>
    <t xml:space="preserve">4511 Comercio de vehículos automotores nuevos</t>
  </si>
  <si>
    <t xml:space="preserve">4911 Transporte férreo de pasajeros</t>
  </si>
  <si>
    <t xml:space="preserve">5511 Alojamiento en hoteles </t>
  </si>
  <si>
    <t xml:space="preserve">5811 Edición de libros</t>
  </si>
  <si>
    <t xml:space="preserve">6411 Banco Central</t>
  </si>
  <si>
    <t xml:space="preserve">6810 Actividades inmobiliarias realizadas con bienes propios o arrendados</t>
  </si>
  <si>
    <t xml:space="preserve">6910 Actividades jurídicas</t>
  </si>
  <si>
    <t xml:space="preserve">7710 Alquiler y arrendamiento de vehículos automotores</t>
  </si>
  <si>
    <t xml:space="preserve">8411 Actividades legislativas de la administración pública</t>
  </si>
  <si>
    <t xml:space="preserve">8511 Educación de la primera infancia</t>
  </si>
  <si>
    <t xml:space="preserve">8610 Actividades de hospitales y clínicas, con internación</t>
  </si>
  <si>
    <t xml:space="preserve">9001 Creación literaria</t>
  </si>
  <si>
    <t xml:space="preserve">9411 Actividades de asociaciones empresariales y de empleadores</t>
  </si>
  <si>
    <t xml:space="preserve">0520 Extracción de carbón lignito</t>
  </si>
  <si>
    <t xml:space="preserve">3512 Transmisión de energía eléctrica</t>
  </si>
  <si>
    <t xml:space="preserve">4112 Construcción de edificios no residenciales</t>
  </si>
  <si>
    <t xml:space="preserve">4512 Comercio de vehículos automotores usados</t>
  </si>
  <si>
    <t xml:space="preserve">4912 Transporte férreo de carga </t>
  </si>
  <si>
    <t xml:space="preserve">5512 Alojamiento en apartahoteles</t>
  </si>
  <si>
    <t xml:space="preserve">5812 Edición de directorios y listas de correo</t>
  </si>
  <si>
    <t xml:space="preserve">6412 Bancos comerciales</t>
  </si>
  <si>
    <t xml:space="preserve">6820 Actividades inmobiliarias realizadas a cambio de una retribución o por contrata </t>
  </si>
  <si>
    <t xml:space="preserve">6920 Actividades de contabilidad, teneduría de libros, auditoría financiera y asesoría tributaria</t>
  </si>
  <si>
    <t xml:space="preserve">7721 Alquiler y arrendamiento de equipo recreativo y deportivo</t>
  </si>
  <si>
    <t xml:space="preserve">8412 Actividades ejecutivas de la administración pública</t>
  </si>
  <si>
    <t xml:space="preserve">8512 Educación preescolar</t>
  </si>
  <si>
    <t xml:space="preserve">8621 Actividades de la práctica médica, sin internación</t>
  </si>
  <si>
    <t xml:space="preserve">9002 Creación musical</t>
  </si>
  <si>
    <t xml:space="preserve">9412 Actividades de asociaciones profesionales</t>
  </si>
  <si>
    <t xml:space="preserve">0610 Extracción de petróleo crudo</t>
  </si>
  <si>
    <t xml:space="preserve">3513 Distribución de energía eléctrica</t>
  </si>
  <si>
    <t xml:space="preserve">4210 Construcción de carreteras y vías de ferrocarril</t>
  </si>
  <si>
    <t xml:space="preserve">4520 Mantenimiento y reparación de vehículos automotores</t>
  </si>
  <si>
    <t xml:space="preserve">4921 Transporte de pasajeros</t>
  </si>
  <si>
    <t xml:space="preserve">5513 Alojamiento en centros vacacionales </t>
  </si>
  <si>
    <t xml:space="preserve">5813 Edición de periódicos, revistas y otras publicaciones periódicas</t>
  </si>
  <si>
    <t xml:space="preserve">6421 Actividades de las corporaciones financieras</t>
  </si>
  <si>
    <t xml:space="preserve">7010 Actividades de administración empresarial</t>
  </si>
  <si>
    <t xml:space="preserve">7722 Alquiler de videos y discos </t>
  </si>
  <si>
    <t xml:space="preserve">8413 Regulación de las actividades de organismos que prestan servicios de salud, educativos, culturales y otros servicios sociales, excepto servicios de seguridad social </t>
  </si>
  <si>
    <t xml:space="preserve">8513 Educación básica primaria</t>
  </si>
  <si>
    <t xml:space="preserve">8622 Actividades de la práctica odontológica</t>
  </si>
  <si>
    <t xml:space="preserve">9003 Creación teatral</t>
  </si>
  <si>
    <t xml:space="preserve">9420 Actividades de sindicatos de empleados</t>
  </si>
  <si>
    <t xml:space="preserve">0620 Extracción de gas natural</t>
  </si>
  <si>
    <t xml:space="preserve">3514 Comercialización de energía eléctrica</t>
  </si>
  <si>
    <t xml:space="preserve">4220 Construcción de proyectos de servicio público</t>
  </si>
  <si>
    <t xml:space="preserve">4530 Comercio de partes, piezas (autopartes) y accesorios (lujos) para vehículos automotores</t>
  </si>
  <si>
    <t xml:space="preserve">4922 Transporte mixto</t>
  </si>
  <si>
    <t xml:space="preserve">5819 Otros trabajos de edición</t>
  </si>
  <si>
    <t xml:space="preserve">6422 Actividades de las compañías de financiamiento</t>
  </si>
  <si>
    <t xml:space="preserve">7020 Actividades de consultaría de gestión</t>
  </si>
  <si>
    <t xml:space="preserve">7729 Alquiler y arrendamiento de otros efectos personales y enseres domésticos n.c.p.</t>
  </si>
  <si>
    <t xml:space="preserve">8414 Actividades reguladoras y facilitadoras de la actividad económica</t>
  </si>
  <si>
    <t xml:space="preserve">8521 Educación básica secundaria </t>
  </si>
  <si>
    <t xml:space="preserve">8691 Actividades de apoyo diagnóstico</t>
  </si>
  <si>
    <t xml:space="preserve">9004 Creación audiovisual</t>
  </si>
  <si>
    <t xml:space="preserve">9491 Actividades de asociaciones religiosas</t>
  </si>
  <si>
    <t xml:space="preserve">0710 Extracción de minerales de hierro</t>
  </si>
  <si>
    <t xml:space="preserve">3520 Producción de gas; distribución de combustibles gaseosos por tuberías</t>
  </si>
  <si>
    <t xml:space="preserve">4290 Construcción de otras obras de ingeniería civil</t>
  </si>
  <si>
    <t xml:space="preserve">4541 Comercio de motocicletas y de sus partes, piezas y accesorios</t>
  </si>
  <si>
    <t xml:space="preserve">4923 Transporte de carga por carretera</t>
  </si>
  <si>
    <r>
      <rPr>
        <sz val="10"/>
        <rFont val="Futura Std Book"/>
        <family val="2"/>
        <charset val="1"/>
      </rPr>
      <t xml:space="preserve">5820 Edición de programas de informática (</t>
    </r>
    <r>
      <rPr>
        <i val="true"/>
        <sz val="10"/>
        <rFont val="Futura Std Book"/>
        <family val="2"/>
        <charset val="1"/>
      </rPr>
      <t xml:space="preserve">software</t>
    </r>
    <r>
      <rPr>
        <sz val="10"/>
        <rFont val="Futura Std Book"/>
        <family val="2"/>
        <charset val="1"/>
      </rPr>
      <t xml:space="preserve">)</t>
    </r>
  </si>
  <si>
    <t xml:space="preserve">6423 Banca de segundo piso</t>
  </si>
  <si>
    <t xml:space="preserve">7110 Actividades de arquitectura e ingeniería y otras actividades conexas de consultoría técnica</t>
  </si>
  <si>
    <t xml:space="preserve">7730 Alquiler y arrendamiento de otros tipos de maquinaria, equipo y bienes tangibles n.c.p.</t>
  </si>
  <si>
    <t xml:space="preserve">8415 Actividades de los otros órganos de control</t>
  </si>
  <si>
    <t xml:space="preserve">8522 Educación media académica</t>
  </si>
  <si>
    <t xml:space="preserve">8692 Actividades de apoyo terapéutico</t>
  </si>
  <si>
    <t xml:space="preserve">9005 Artes plásticas y visuales</t>
  </si>
  <si>
    <t xml:space="preserve">9492 Actividades de asociaciones políticas</t>
  </si>
  <si>
    <t xml:space="preserve">0721 Extracción de minerales de uranio y de torio</t>
  </si>
  <si>
    <t xml:space="preserve">3530 Suministro de vapor y aire acondicionado</t>
  </si>
  <si>
    <t xml:space="preserve">3822 Tratamiento y disposición de desechos peligrosos</t>
  </si>
  <si>
    <t xml:space="preserve">4311 Demolición</t>
  </si>
  <si>
    <t xml:space="preserve">4542 Mantenimiento y reparación de motocicletas y de sus partes y piezas</t>
  </si>
  <si>
    <t xml:space="preserve">4930 Transporte por tuberías</t>
  </si>
  <si>
    <t xml:space="preserve">5911 Actividades de producción de películas cinematográficas, videos, programas, anuncios y comerciales de televisión</t>
  </si>
  <si>
    <t xml:space="preserve">6424 Actividades de las cooperativas financieras</t>
  </si>
  <si>
    <t xml:space="preserve">7120 Ensayos y análisis técnicos</t>
  </si>
  <si>
    <t xml:space="preserve">7740 Arrendamiento de propiedad intelectual y productos similares, excepto obras protegidas por derechos de autor</t>
  </si>
  <si>
    <t xml:space="preserve">8421 Relaciones exteriores </t>
  </si>
  <si>
    <t xml:space="preserve">8523 Educación media técnica y de formación laboral</t>
  </si>
  <si>
    <t xml:space="preserve">8699 Otras actividades de atención de la salud humana</t>
  </si>
  <si>
    <t xml:space="preserve">9006 Actividades teatrales</t>
  </si>
  <si>
    <t xml:space="preserve">9499 Actividades de otras asociaciones n.c.p.</t>
  </si>
  <si>
    <t xml:space="preserve">0722 Extracción de oro y otros metales preciosos</t>
  </si>
  <si>
    <t xml:space="preserve">4312 Preparación del terreno</t>
  </si>
  <si>
    <t xml:space="preserve">4610 Comercio al por mayor a cambio de una retribución o por contrata4610</t>
  </si>
  <si>
    <t xml:space="preserve">5011 Transporte de pasajeros marítimo y de cabotaje </t>
  </si>
  <si>
    <t xml:space="preserve">5530 Servicio por horas </t>
  </si>
  <si>
    <t xml:space="preserve">5912 Actividades de posproducción de películas cinematográficas, videos, programas, anuncios y comerciales de televisión</t>
  </si>
  <si>
    <t xml:space="preserve">6431 Fideicomisos, fondos y entidades financieras similares</t>
  </si>
  <si>
    <t xml:space="preserve">7210 Investigaciones y desarrollo experimental en el campo de las ciencias naturales y la ingeniería </t>
  </si>
  <si>
    <t xml:space="preserve">7810 Actividades de agencias de empleo</t>
  </si>
  <si>
    <t xml:space="preserve">8422 Actividades de defensa</t>
  </si>
  <si>
    <t xml:space="preserve">8530 Establecimientos que combinan diferentes niveles de educación </t>
  </si>
  <si>
    <t xml:space="preserve">8710 Actividades de atención residencial medicalizada de tipo general</t>
  </si>
  <si>
    <t xml:space="preserve">9007 Actividades de espectáculos musicales en vivo</t>
  </si>
  <si>
    <t xml:space="preserve">9511 Mantenimiento y reparación de computadores y de equipo periférico</t>
  </si>
  <si>
    <t xml:space="preserve">0723 Extracción de minerales de níquel</t>
  </si>
  <si>
    <t xml:space="preserve">4321 Instalaciones eléctricas</t>
  </si>
  <si>
    <t xml:space="preserve">5012 Transporte de carga marítimo y de cabotaje </t>
  </si>
  <si>
    <t xml:space="preserve">5913 Actividades de distribución de películas cinematográficas, videos, programas, anuncios y comerciales de televisión</t>
  </si>
  <si>
    <t xml:space="preserve">6432 Fondos de cesantías</t>
  </si>
  <si>
    <t xml:space="preserve">7220 Investigaciones y desarrollo experimental en el campo de las ciencias sociales y las humanidades</t>
  </si>
  <si>
    <t xml:space="preserve">7820 Actividades de agencias de empleo temporal</t>
  </si>
  <si>
    <t xml:space="preserve">8423 Orden público y actividades de seguridad</t>
  </si>
  <si>
    <t xml:space="preserve">8541 Educación técnica profesional</t>
  </si>
  <si>
    <t xml:space="preserve">8720 Actividades de atención residencial, para el cuidado de pacientes con retardo mental, enfermedad mental y consumo de sustancias psicoactivas</t>
  </si>
  <si>
    <t xml:space="preserve">9008 Otras actividades de espectáculos en vivo</t>
  </si>
  <si>
    <t xml:space="preserve">9512 Mantenimiento y reparación de equipos de comunicación</t>
  </si>
  <si>
    <t xml:space="preserve">0724 Extracción de otros minerales metalíferos no ferrosos n.c.p.</t>
  </si>
  <si>
    <t xml:space="preserve">4322 Instalaciones de fontanería, calefacción y aire acondicionado</t>
  </si>
  <si>
    <t xml:space="preserve">5021 Transporte fluvial de pasajeros</t>
  </si>
  <si>
    <t xml:space="preserve">5914 Actividades de exhibición de películas cinematográficas y videos</t>
  </si>
  <si>
    <t xml:space="preserve">6491 Leasing financiero (arrendamiento financiero)</t>
  </si>
  <si>
    <t xml:space="preserve">7310 Publicidad</t>
  </si>
  <si>
    <t xml:space="preserve">7830 Otras actividades de suministro de recurso humano</t>
  </si>
  <si>
    <t xml:space="preserve">8424 Administración de justicia</t>
  </si>
  <si>
    <t xml:space="preserve">8542 Educación tecnológica</t>
  </si>
  <si>
    <t xml:space="preserve">8730 Actividades de atención en instituciones para el cuidado de personas mayores y/o discapacitadas</t>
  </si>
  <si>
    <t xml:space="preserve">9101 Actividades de bibliotecas y archivos</t>
  </si>
  <si>
    <t xml:space="preserve">9521 Mantenimiento y reparación de aparatos electrónicos de consumo</t>
  </si>
  <si>
    <t xml:space="preserve">0811 Extracción de piedra, arena, arcillas comunes, yeso y anhidrita</t>
  </si>
  <si>
    <t xml:space="preserve">4329 Otras instalaciones especializadas</t>
  </si>
  <si>
    <t xml:space="preserve">4632 Comercio al por mayor de bebidas y tabaco</t>
  </si>
  <si>
    <t xml:space="preserve">5022 Transporte fluvial de carga</t>
  </si>
  <si>
    <t xml:space="preserve">5920 Actividades de grabación de sonido y edición de música</t>
  </si>
  <si>
    <t xml:space="preserve">6492 Actividades financieras de fondos de empleados y otras formas asociativas del sector solidario</t>
  </si>
  <si>
    <t xml:space="preserve">7320 Estudios de mercado y realización de encuestas de opinión pública</t>
  </si>
  <si>
    <t xml:space="preserve">7911 Actividades de las agencias de viaje</t>
  </si>
  <si>
    <t xml:space="preserve">8430 Actividades de planes de seguridad social de afiliación obligatoria</t>
  </si>
  <si>
    <t xml:space="preserve">8543 Educación de instituciones universitarias o de escuelas tecnológicas</t>
  </si>
  <si>
    <t xml:space="preserve">8790 Otras actividades de atención en instituciones con alojamiento</t>
  </si>
  <si>
    <t xml:space="preserve">9102 Actividades y funcionamiento de museos, conservación de edificios y sitios históricos</t>
  </si>
  <si>
    <t xml:space="preserve">9522 Mantenimiento y reparación de aparatos y equipos domésticos y de jardinería </t>
  </si>
  <si>
    <t xml:space="preserve">0812 Extracción de arcillas de uso industrial, caliza, caolín y bentonitas</t>
  </si>
  <si>
    <t xml:space="preserve">4330 Terminación y acabado de edificios y obras de ingeniería civil</t>
  </si>
  <si>
    <t xml:space="preserve">4641 Comercio al por mayor de productos textiles, productos confeccionados para uso doméstico</t>
  </si>
  <si>
    <t xml:space="preserve">5111 Transporte aéreo nacional de pasajeros </t>
  </si>
  <si>
    <t xml:space="preserve">5613 Expendio de comidas preparadas en cafeterías</t>
  </si>
  <si>
    <t xml:space="preserve">6010 Actividades de programación y transmisión en el servicio de radiodifusión sonora</t>
  </si>
  <si>
    <r>
      <rPr>
        <sz val="10"/>
        <rFont val="Futura Std Book"/>
        <family val="2"/>
        <charset val="1"/>
      </rPr>
      <t xml:space="preserve">6493 Actividades de compra de cartera o </t>
    </r>
    <r>
      <rPr>
        <i val="true"/>
        <sz val="10"/>
        <rFont val="Futura Std Book"/>
        <family val="2"/>
        <charset val="1"/>
      </rPr>
      <t xml:space="preserve">factoring</t>
    </r>
  </si>
  <si>
    <t xml:space="preserve">7410 Actividades especializadas de diseño </t>
  </si>
  <si>
    <t xml:space="preserve">7912 Actividades de operadores turísticos</t>
  </si>
  <si>
    <t xml:space="preserve">8544 Educación de universidades</t>
  </si>
  <si>
    <t xml:space="preserve">8810 Actividades de asistencia social sin alojamiento para personas mayores y discapacitadas</t>
  </si>
  <si>
    <t xml:space="preserve">9103 Actividades de jardines botánicos, zoológicos y reservas naturales</t>
  </si>
  <si>
    <t xml:space="preserve">9523 Reparación de calzado y artículos de cuero</t>
  </si>
  <si>
    <t xml:space="preserve">0820 Extracción de esmeraldas, piedras preciosas y semipreciosas</t>
  </si>
  <si>
    <t xml:space="preserve">4390 Otras actividades especializadas para la construcción de edificios y obras de ingeniería civil</t>
  </si>
  <si>
    <t xml:space="preserve">4642 Comercio al por mayor de prendas de vestir</t>
  </si>
  <si>
    <t xml:space="preserve">5112 Transporte aéreo internacional de pasajeros </t>
  </si>
  <si>
    <t xml:space="preserve">6020 Actividades de programación y transmisión de televisión</t>
  </si>
  <si>
    <t xml:space="preserve">6494 Otras actividades de distribución de fondos</t>
  </si>
  <si>
    <t xml:space="preserve">7420 Actividades de fotografía</t>
  </si>
  <si>
    <t xml:space="preserve">7990 Otros servicios de reserva y actividades relacionadas</t>
  </si>
  <si>
    <t xml:space="preserve">8551 Formación académica no formal </t>
  </si>
  <si>
    <t xml:space="preserve">8890 Otras actividades de asistencia social sin alojamiento</t>
  </si>
  <si>
    <t xml:space="preserve">9200 Actividades de juegos de azar y apuestas</t>
  </si>
  <si>
    <t xml:space="preserve">9524 Reparación de muebles y accesorios para el hogar</t>
  </si>
  <si>
    <t xml:space="preserve">0891 Extracción de minerales para la fabricación de abonos y productos químicos</t>
  </si>
  <si>
    <t xml:space="preserve">4643 Comercio al por mayor de calzado</t>
  </si>
  <si>
    <t xml:space="preserve">5121 Transporte aéreo nacional de carga </t>
  </si>
  <si>
    <t xml:space="preserve">5621 Catering para eventos</t>
  </si>
  <si>
    <t xml:space="preserve">6110 Actividades de telecomunicaciones alámbricas</t>
  </si>
  <si>
    <t xml:space="preserve">6495 Instituciones especiales oficiales</t>
  </si>
  <si>
    <t xml:space="preserve">7490 Otras actividades profesionales, científicas y técnicas n.c.p.</t>
  </si>
  <si>
    <t xml:space="preserve">8010 Actividades de seguridad privada</t>
  </si>
  <si>
    <t xml:space="preserve">8552 Enseñanza deportiva y recreativa</t>
  </si>
  <si>
    <t xml:space="preserve">9311 Gestión de instalaciones deportivas</t>
  </si>
  <si>
    <t xml:space="preserve">9529 Mantenimiento y reparación de otros efectos personales y enseres domésticos</t>
  </si>
  <si>
    <t xml:space="preserve">0892 Extracción de halita (sal)</t>
  </si>
  <si>
    <t xml:space="preserve">4644 Comercio al por mayor de aparatos y equipo de uso doméstico</t>
  </si>
  <si>
    <t xml:space="preserve">5122 Transporte aéreo internacional de carga </t>
  </si>
  <si>
    <t xml:space="preserve">6120 Actividades de telecomunicaciones inalámbricas</t>
  </si>
  <si>
    <t xml:space="preserve">6499 Otras actividades de servicio financiero, excepto las de seguros y pensiones n.c.p.</t>
  </si>
  <si>
    <t xml:space="preserve">7500 Actividades veterinarias</t>
  </si>
  <si>
    <t xml:space="preserve">8020 Actividades de servicios de sistemas de seguridad</t>
  </si>
  <si>
    <t xml:space="preserve">8553 Enseñanza cultural</t>
  </si>
  <si>
    <t xml:space="preserve">9312 Actividades de clubes deportivos</t>
  </si>
  <si>
    <t xml:space="preserve">9601 Lavado y limpieza, incluso la limpieza en seco, de productos textiles y de piel</t>
  </si>
  <si>
    <t xml:space="preserve">0899 Extracción de otros minerales no metálicos n.c.p.</t>
  </si>
  <si>
    <t xml:space="preserve">4645 Comercio al por mayor de productos farmacéuticos, medicinales, cosméticos y de tocador</t>
  </si>
  <si>
    <t xml:space="preserve">5210 Almacenamiento y depósito</t>
  </si>
  <si>
    <t xml:space="preserve">5630 Expendio de bebidas alcohólicas para el consumo dentro del establecimiento</t>
  </si>
  <si>
    <t xml:space="preserve">6130 Actividades de telecomunicación satelital</t>
  </si>
  <si>
    <t xml:space="preserve">6511 Seguros generales </t>
  </si>
  <si>
    <t xml:space="preserve">8030 Actividades de detectives e investigadores privados</t>
  </si>
  <si>
    <t xml:space="preserve">8559 Otros tipos de educación n.c.p.</t>
  </si>
  <si>
    <t xml:space="preserve">9319 Otras actividades deportivas</t>
  </si>
  <si>
    <t xml:space="preserve">9602 Peluquería y otros tratamientos de belleza</t>
  </si>
  <si>
    <t xml:space="preserve">0910 Actividades de apoyo para la extracción de petróleo y de gas natural</t>
  </si>
  <si>
    <t xml:space="preserve">4649 Comercio al por mayor de otros utensilios domésticos n.c.p.</t>
  </si>
  <si>
    <t xml:space="preserve">5221 Actividades de estaciones, vías y servicios complementarios para el transporte terrestre</t>
  </si>
  <si>
    <t xml:space="preserve">6190 Otras actividades de telecomunicaciones</t>
  </si>
  <si>
    <t xml:space="preserve">6512 Seguros de vida</t>
  </si>
  <si>
    <t xml:space="preserve">8110 Actividades combinadas de apoyo a instalaciones</t>
  </si>
  <si>
    <t xml:space="preserve">8560 Actividades de apoyo a la educación</t>
  </si>
  <si>
    <t xml:space="preserve">9321 Actividades de parques de atracciones y parques temáticos</t>
  </si>
  <si>
    <t xml:space="preserve">9603 Pompas fúnebres y actividades relacionadas</t>
  </si>
  <si>
    <t xml:space="preserve">0990 Actividades de apoyo para otras actividades de explotación de minas y canteras</t>
  </si>
  <si>
    <t xml:space="preserve">4651 Comercio al por mayor de computadores, equipo periférico y programas de informática</t>
  </si>
  <si>
    <t xml:space="preserve">5222 Actividades de puertos y servicios complementarios para el transporte acuático</t>
  </si>
  <si>
    <t xml:space="preserve">6201 Actividades de desarrollo de sistemas informáticos (planificación, análisis, diseño, programación, pruebas)</t>
  </si>
  <si>
    <t xml:space="preserve">6513 Reaseguros</t>
  </si>
  <si>
    <t xml:space="preserve">8121 Limpieza general interior de edificios</t>
  </si>
  <si>
    <t xml:space="preserve">9329 Otras actividades recreativas y de esparcimiento n.c.p.</t>
  </si>
  <si>
    <t xml:space="preserve">9609 Otras actividades de servicios personales n.c.p.</t>
  </si>
  <si>
    <t xml:space="preserve">4652 Comercio al por mayor de equipo, partes y piezas electrónicos y de telecomunicaciones</t>
  </si>
  <si>
    <t xml:space="preserve">5223 Actividades de aeropuertos, servicios de navegación aérea y demás actividades conexas al transporte aéreo</t>
  </si>
  <si>
    <t xml:space="preserve">6202 Actividades de consultoría informática y actividades de administración de instalaciones informáticas</t>
  </si>
  <si>
    <t xml:space="preserve">6514 Capitalización</t>
  </si>
  <si>
    <t xml:space="preserve">8129 Otras actividades de limpieza de edificios e instalaciones industriales</t>
  </si>
  <si>
    <t xml:space="preserve">9909 Actividades de organizaciones y entidades extraterritoriales</t>
  </si>
  <si>
    <t xml:space="preserve">1101 Destilación, rectificación y mezcla de bebidas alcohólicas</t>
  </si>
  <si>
    <t xml:space="preserve">4653 Comercio al por mayor de maquinaria y equipo agropecuarios</t>
  </si>
  <si>
    <t xml:space="preserve">5224 Manipulación de carga</t>
  </si>
  <si>
    <t xml:space="preserve">6209 Otras actividades de tecnologías de información y actividades de servicios informáticos</t>
  </si>
  <si>
    <t xml:space="preserve">6521 Servicios de seguros sociales de salud</t>
  </si>
  <si>
    <t xml:space="preserve">8130 Actividades de paisajismo y servicios de mantenimiento conexos</t>
  </si>
  <si>
    <t xml:space="preserve">4659 Comercio al por mayor de otros tipos de maquinaria y equipo n.c.p.</t>
  </si>
  <si>
    <t xml:space="preserve">5229 Otras actividades complementarias al transporte</t>
  </si>
  <si>
    <r>
      <rPr>
        <sz val="10"/>
        <rFont val="Futura Std Book"/>
        <family val="2"/>
        <charset val="1"/>
      </rPr>
      <t xml:space="preserve">6311 Procesamiento de datos, alojamiento (</t>
    </r>
    <r>
      <rPr>
        <i val="true"/>
        <sz val="10"/>
        <rFont val="Futura Std Book"/>
        <family val="2"/>
        <charset val="1"/>
      </rPr>
      <t xml:space="preserve">hosting</t>
    </r>
    <r>
      <rPr>
        <sz val="10"/>
        <rFont val="Futura Std Book"/>
        <family val="2"/>
        <charset val="1"/>
      </rPr>
      <t xml:space="preserve">) y actividades relacionadas</t>
    </r>
  </si>
  <si>
    <t xml:space="preserve">6522 Servicios de seguros sociales de riesgos profesionales</t>
  </si>
  <si>
    <t xml:space="preserve">8211 Actividades combinadas de servicios administrativos de oficina</t>
  </si>
  <si>
    <t xml:space="preserve">4661 Comercio al por mayor de combustibles sólidos, líquidos, gaseosos y productos conexos</t>
  </si>
  <si>
    <t xml:space="preserve">5310 Actividades postales nacionales</t>
  </si>
  <si>
    <t xml:space="preserve">6312 Portales web</t>
  </si>
  <si>
    <t xml:space="preserve">6531 Régimen de prima media con prestación definida (RPM)</t>
  </si>
  <si>
    <t xml:space="preserve">8219 Fotocopiado, preparación de documentos y otras actividades especializadas de apoyo a oficina</t>
  </si>
  <si>
    <t xml:space="preserve">4662 Comercio al por mayor de metales y productos metalíferos</t>
  </si>
  <si>
    <t xml:space="preserve">5320 Actividades de mensajería</t>
  </si>
  <si>
    <t xml:space="preserve">6391 Actividades de agencias de noticias</t>
  </si>
  <si>
    <t xml:space="preserve">6532 Régimen de ahorro individual (RAI)</t>
  </si>
  <si>
    <t xml:space="preserve">8220 Actividades de centros de llamadas (Call center)</t>
  </si>
  <si>
    <t xml:space="preserve">1200 Elaboración de productos de tabaco</t>
  </si>
  <si>
    <t xml:space="preserve">4663 Comercio al por mayor de materiales de construcción, artículos de ferretería, pinturas, productos de vidrio, equipo y materiales de fontanería y calefacción</t>
  </si>
  <si>
    <t xml:space="preserve">6399 Otras actividades de servicio de información n.c.p.</t>
  </si>
  <si>
    <t xml:space="preserve">6611 Administración de mercados financieros</t>
  </si>
  <si>
    <t xml:space="preserve">8230 Organización de convenciones y eventos comerciales</t>
  </si>
  <si>
    <t xml:space="preserve">4664 Comercio al por mayor de productos químicos básicos, cauchos y plásticos en formas primarias y productos químicos de uso agropecuario</t>
  </si>
  <si>
    <t xml:space="preserve">6612 Corretaje de valores y de contratos de productos básicos</t>
  </si>
  <si>
    <t xml:space="preserve">8291 Actividades de agencias de cobranza y oficinas de calificación crediticia</t>
  </si>
  <si>
    <t xml:space="preserve">4665 Comercio al por mayor de desperdicios, desechos y chatarra</t>
  </si>
  <si>
    <t xml:space="preserve">6613 Otras actividades relacionadas con el mercado de valores</t>
  </si>
  <si>
    <t xml:space="preserve">8292 Actividades de envase y empaque</t>
  </si>
  <si>
    <t xml:space="preserve">4669 Comercio al por mayor de otros productos n.c.p.</t>
  </si>
  <si>
    <t xml:space="preserve">6614 Actividades de las casas de cambio</t>
  </si>
  <si>
    <t xml:space="preserve">8299 Otras actividades de servicio de apoyo a las empresas n.c.p.</t>
  </si>
  <si>
    <t xml:space="preserve">4690 Comercio al por mayor no especializado</t>
  </si>
  <si>
    <t xml:space="preserve">6615 Actividades de los profesionales de compra y venta de divisas</t>
  </si>
  <si>
    <t xml:space="preserve">6619 Otras actividades auxiliares de las actividades de servicios financieros n.c.p.</t>
  </si>
  <si>
    <t xml:space="preserve">4719 Comercio al por menor en establecimientos no especializados, con surtido compuesto principalmente por productos diferentes de alimentos (víveres en general), bebidas y tabaco</t>
  </si>
  <si>
    <t xml:space="preserve">6621 Actividades de agentes y corredores de seguros</t>
  </si>
  <si>
    <t xml:space="preserve">6629 Evaluación de riesgos y daños, y otras actividades de servicios auxiliares</t>
  </si>
  <si>
    <t xml:space="preserve">6630 Actividades de administración de fondos</t>
  </si>
  <si>
    <t xml:space="preserve">4724 Comercio al por menor de bebidas y productos del tabaco, en establecimientos especializados</t>
  </si>
  <si>
    <t xml:space="preserve">4729 Comercio al por menor de otros productos alimenticios n.c.p., en establecimientos especializados</t>
  </si>
  <si>
    <t xml:space="preserve">4731 Comercio al por menor de combustible, lubricantes, aditivos y productos de limpieza para automotores, en establecimientos especializados</t>
  </si>
  <si>
    <t xml:space="preserve">4732 Comercio al por menor de combustible para automotores</t>
  </si>
  <si>
    <t xml:space="preserve">4741 Comercio al por menor de lubricantes (aceites, grasas), aditivos y productos de limpieza para vehículos automotores</t>
  </si>
  <si>
    <t xml:space="preserve">4742 Comercio al por menor de equipos y aparatos de sonido y de video, en establecimientos especializados</t>
  </si>
  <si>
    <t xml:space="preserve">4751 Comercio al por menor de productos textiles en establecimientos especializados</t>
  </si>
  <si>
    <t xml:space="preserve">4752 Comercio al por menor de artículos de ferretería, pinturas y productos de vidrio en establecimientos especializados</t>
  </si>
  <si>
    <t xml:space="preserve">1610 Aserrado, acepillado e impregnación de la madera</t>
  </si>
  <si>
    <t xml:space="preserve">4753 Comercio al por menor de tapices, alfombras y cubrimientos para paredes y pisos en establecimientos especializados</t>
  </si>
  <si>
    <t xml:space="preserve">1620 Fabricación de hojas de madera para enchapado; fabricación de tableros contrachapados, tableros laminados, tableros de partículas y otros tableros y paneles</t>
  </si>
  <si>
    <t xml:space="preserve">4754 Comercio al por menor de electrodomésticos y gasodomésticos de uso doméstico, muebles y equipos de iluminación</t>
  </si>
  <si>
    <t xml:space="preserve">1630 Fabricación de partes y piezas de madera, de carpintería y ebanistería para la construcción</t>
  </si>
  <si>
    <t xml:space="preserve">4755 Comercio al por menor de artículos y utensilios de uso doméstico</t>
  </si>
  <si>
    <t xml:space="preserve">4759 Comercio al por menor de otros artículos domésticos en establecimientos especializados</t>
  </si>
  <si>
    <t xml:space="preserve">1690 Fabricación de otros productos de madera; fabricación de artículos de corcho, cestería y espartería</t>
  </si>
  <si>
    <t xml:space="preserve">4761 Comercio al por menor de libros, periódicos, materiales y artículos de papelería y escritorio, en establecimientos especializados</t>
  </si>
  <si>
    <t xml:space="preserve">1701 Fabricación de pulpas (pastas) celulósicas; papel y cartón</t>
  </si>
  <si>
    <t xml:space="preserve">4762 Comercio al por menor de artículos deportivos, en establecimientos especializados </t>
  </si>
  <si>
    <t xml:space="preserve">1702 Fabricación de papel y cartón ondulado (corrugado); fabricación de envases, empaques y de embalajes de papel y cartón.</t>
  </si>
  <si>
    <t xml:space="preserve">4769 Comercio al por menor de otros artículos culturales y de entretenimiento n.c.p. en establecimientos especializados</t>
  </si>
  <si>
    <t xml:space="preserve">1709 Fabricación de otros artículos de papel y cartón</t>
  </si>
  <si>
    <t xml:space="preserve">4771 Comercio al por menor de prendas de vestir y sus accesorios (incluye artículos de piel) en establecimientos especializados</t>
  </si>
  <si>
    <t xml:space="preserve">1811 Actividades de impresión</t>
  </si>
  <si>
    <t xml:space="preserve">4772 Comercio al por menor de todo tipo de calzado y artículos de cuero y sucedáneos del cuero en establecimientos especializados.</t>
  </si>
  <si>
    <t xml:space="preserve">1812 Actividades de servicios relacionados con la impresión</t>
  </si>
  <si>
    <t xml:space="preserve">4773 Comercio al por menor de productos farmacéuticos y medicinales, cosméticos y artículos de tocador en establecimientos especializados</t>
  </si>
  <si>
    <t xml:space="preserve">1820 Producción de copias a partir de grabaciones originales </t>
  </si>
  <si>
    <t xml:space="preserve">4774 Comercio al por menor de otros productos nuevos en establecimientos especializados</t>
  </si>
  <si>
    <t xml:space="preserve">1910 Fabricación de productos de hornos de coque</t>
  </si>
  <si>
    <t xml:space="preserve">4775 Comercio al por menor de artículos de segunda mano</t>
  </si>
  <si>
    <t xml:space="preserve">1921 Fabricación de productos de la refinación del petróleo</t>
  </si>
  <si>
    <t xml:space="preserve">4781 Comercio al por menor de alimentos, bebidas y tabaco, en puestos de venta móviles</t>
  </si>
  <si>
    <t xml:space="preserve">1922 Actividad de mezcla de combustibles</t>
  </si>
  <si>
    <t xml:space="preserve">4782 Comercio al por menor de productos textiles, prendas de vestir y calzado, en puestos de venta móviles</t>
  </si>
  <si>
    <t xml:space="preserve">2011 Fabricación de sustancias y productos químicos básicos</t>
  </si>
  <si>
    <t xml:space="preserve">4789 Comercio al por menor de otros productos en puestos de venta móviles</t>
  </si>
  <si>
    <t xml:space="preserve">2012 Fabricación de abonos y compuestos inorgánicos nitrogenados</t>
  </si>
  <si>
    <t xml:space="preserve">4791 Comercio al por menor realizado a través de Internet</t>
  </si>
  <si>
    <t xml:space="preserve">2013 Fabricación de plásticos en formas primarias</t>
  </si>
  <si>
    <t xml:space="preserve">4792 Comercio al por menor realizado a través de casas de venta o por correo</t>
  </si>
  <si>
    <t xml:space="preserve">2014 Fabricación de caucho sintético en formas primarias</t>
  </si>
  <si>
    <t xml:space="preserve">4799 Otros tipos de comercio al por menor no realizado en establecimientos, puestos de venta o mercados.</t>
  </si>
  <si>
    <t xml:space="preserve">2021 Fabricación de plaguicidas y otros productos químicos de uso agropecuario</t>
  </si>
  <si>
    <t xml:space="preserve">2022 Fabricación de pinturas, barnices y revestimientos similares, tintas para impresión y masillas</t>
  </si>
  <si>
    <t xml:space="preserve">2023 Fabricación de jabones y detergentes, preparados para limpiar y pulir; perfumes y preparados de tocador</t>
  </si>
  <si>
    <t xml:space="preserve">2029 Fabricación de otros productos químicos n.c.p.</t>
  </si>
  <si>
    <t xml:space="preserve">2030 Fabricación de fibras sintéticas y artificiales</t>
  </si>
  <si>
    <t xml:space="preserve">2100 Fabricación de productos farmacéuticos, sustancias químicas medicinales y productos botánicos de uso farmacéutico</t>
  </si>
  <si>
    <t xml:space="preserve">2211 Fabricación de llantas y neumáticos de caucho</t>
  </si>
  <si>
    <t xml:space="preserve">2212 Reencauche de llantas usadas</t>
  </si>
  <si>
    <t xml:space="preserve">2219 Fabricación de formas básicas de caucho y otros productos de caucho n.c.p.</t>
  </si>
  <si>
    <t xml:space="preserve">2221 Fabricación de formas básicas de plástico</t>
  </si>
  <si>
    <t xml:space="preserve">2229 Fabricación de artículos de plástico n.c.p.</t>
  </si>
  <si>
    <t xml:space="preserve">2310 Fabricación de vidrio y productos de vidrio</t>
  </si>
  <si>
    <t xml:space="preserve">2391 Fabricación de productos refractarios</t>
  </si>
  <si>
    <t xml:space="preserve">2393 Fabricación de cemento, cal y yeso</t>
  </si>
  <si>
    <t xml:space="preserve">2394 Fabricación de cemento, cal y yeso</t>
  </si>
  <si>
    <t xml:space="preserve">2395 Fabricación de artículos de hormigón, cemento y yeso</t>
  </si>
  <si>
    <t xml:space="preserve">2399 Fabricación de otros productos minerales no metálicos n.c.p.</t>
  </si>
  <si>
    <t xml:space="preserve">2410 Industrias básicas de hierro y de acero</t>
  </si>
  <si>
    <t xml:space="preserve">2421 Industrias básicas de metales preciosos</t>
  </si>
  <si>
    <t xml:space="preserve">2429 Industrias básicas de otros metales no ferrosos</t>
  </si>
  <si>
    <t xml:space="preserve">2431 Fundición de hierro y de acero</t>
  </si>
  <si>
    <t xml:space="preserve">2432 Fundición de metales no ferrosos </t>
  </si>
  <si>
    <t xml:space="preserve">2511 Fabricación de productos metálicos para uso estructural</t>
  </si>
  <si>
    <t xml:space="preserve">2512 Fabricación de tanques, depósitos y recipientes de metal, excepto los utilizados para el envase o transporte de mercancías</t>
  </si>
  <si>
    <t xml:space="preserve">2513 Fabricación de generadores de vapor, excepto calderas de agua caliente para calefacción central</t>
  </si>
  <si>
    <t xml:space="preserve">2520 Fabricación de armas y municiones</t>
  </si>
  <si>
    <t xml:space="preserve">2591 Forja, prensado, estampado y laminado de metal; pulvimetalurgia</t>
  </si>
  <si>
    <t xml:space="preserve">2592 Tratamiento y revestimiento de metales; mecanizado</t>
  </si>
  <si>
    <t xml:space="preserve">2593 Fabricación de artículos de cuchillería, herramientas de mano y artículos de ferretería</t>
  </si>
  <si>
    <t xml:space="preserve">2599 Fabricación de otros productos elaborados de metal n.c.p.</t>
  </si>
  <si>
    <t xml:space="preserve">2610 Fabricación de componentes y tableros electrónicos</t>
  </si>
  <si>
    <t xml:space="preserve">2620 Fabricación de computadoras y de equipo periférico</t>
  </si>
  <si>
    <t xml:space="preserve">2630 Fabricación de equipos de comunicación</t>
  </si>
  <si>
    <t xml:space="preserve">2640 Fabricación de aparatos electrónicos de consumo</t>
  </si>
  <si>
    <t xml:space="preserve">2651 Fabricación de equipo de medición, prueba, navegación y control</t>
  </si>
  <si>
    <t xml:space="preserve">2652 Fabricación de relojes</t>
  </si>
  <si>
    <t xml:space="preserve">2660 Fabricación de equipo de irradiación y equipo electrónico de uso médico y terapéutico</t>
  </si>
  <si>
    <t xml:space="preserve">2670Fabricación de instrumentos ópticos y equipo fotográfico</t>
  </si>
  <si>
    <t xml:space="preserve">2680 Fabricación de medios magnéticos y ópticos para almacenamiento de datos</t>
  </si>
  <si>
    <t xml:space="preserve">2711 Fabricación de motores, generadores y transformadores eléctricos</t>
  </si>
  <si>
    <t xml:space="preserve">2712 Fabricación de aparatos de distribución y control de la energía eléctrica</t>
  </si>
  <si>
    <t xml:space="preserve">2720 Fabricación de pilas, baterías y acumuladores eléctricos</t>
  </si>
  <si>
    <t xml:space="preserve">2731 Fabricación de hilos y cables eléctricos y de fibra óptica</t>
  </si>
  <si>
    <t xml:space="preserve">2732 Fabricación de dispositivos de cableado</t>
  </si>
  <si>
    <t xml:space="preserve">2740 Fabricación de equipos eléctricos de iluminación</t>
  </si>
  <si>
    <t xml:space="preserve">2750 Fabricación de aparatos de uso doméstico</t>
  </si>
  <si>
    <t xml:space="preserve">2790 Fabricación de otros tipos de equipo eléctrico n.c.p.</t>
  </si>
  <si>
    <t xml:space="preserve">2811 Fabricación de motores, turbinas, y partes para motores de combustión interna</t>
  </si>
  <si>
    <t xml:space="preserve">2812 Fabricación de equipos de potencia hidráulica y neumática</t>
  </si>
  <si>
    <t xml:space="preserve">2813 Fabricación de otras bombas, compresores, grifos y válvulas</t>
  </si>
  <si>
    <t xml:space="preserve">2814 Fabricación de cojinetes, engranajes, trenes de engranajes y piezas de transmisión</t>
  </si>
  <si>
    <t xml:space="preserve">2815 Fabricación de hornos, hogares y quemadores industriales</t>
  </si>
  <si>
    <t xml:space="preserve">2816 Fabricación de equipo de elevación y manipulación</t>
  </si>
  <si>
    <t xml:space="preserve">2817 Fabricación de maquinaria y equipo de oficina (excepto computadoras y equipo periférico)</t>
  </si>
  <si>
    <t xml:space="preserve">2818 Fabricación de herramientas manuales con motor</t>
  </si>
  <si>
    <t xml:space="preserve">2819 Fabricación de otros tipos de maquinaria y equipo de uso general n.c.p.</t>
  </si>
  <si>
    <t xml:space="preserve">2821 Fabricación de maquinaria agropecuaria y forestal</t>
  </si>
  <si>
    <t xml:space="preserve">2822 Fabricación de máquinas formadoras de metal y de máquinas herramienta</t>
  </si>
  <si>
    <t xml:space="preserve">2823 Fabricación de maquinaria para la metalurgia</t>
  </si>
  <si>
    <t xml:space="preserve">2824 Fabricación de maquinaria para explotación de minas y canteras y para obras de construcción</t>
  </si>
  <si>
    <t xml:space="preserve">2825 Fabricación de maquinaria para la elaboración de alimentos, bebidas y tabaco</t>
  </si>
  <si>
    <t xml:space="preserve">2826 Fabricación de maquinaria para la elaboración de productos textiles, prendas de vestir y cueros</t>
  </si>
  <si>
    <t xml:space="preserve">2829 Fabricación de otros tipos de maquinaria y equipo de uso especial n.c.p.</t>
  </si>
  <si>
    <t xml:space="preserve">2910 Fabricación de vehículos automotores y sus motores</t>
  </si>
  <si>
    <t xml:space="preserve">2920 Fabricación de carrocerías para vehículos automotores; fabricación de remolques y semirremolques </t>
  </si>
  <si>
    <t xml:space="preserve">2930 Fabricación de partes, piezas (autopartes) y accesorios (lujos) para vehículos automotores</t>
  </si>
  <si>
    <t xml:space="preserve">3011 Construcción de barcos y de estructuras flotantes</t>
  </si>
  <si>
    <t xml:space="preserve">3012 Construcción de embarcaciones de recreo y deporte</t>
  </si>
  <si>
    <t xml:space="preserve">3020 Fabricación de locomotoras y de material rodante para ferrocarriles</t>
  </si>
  <si>
    <t xml:space="preserve">3030 Fabricación de aeronaves, naves espaciales y de maquinaria conexa</t>
  </si>
  <si>
    <t xml:space="preserve">3040 Fabricación de vehículos militares de combate</t>
  </si>
  <si>
    <t xml:space="preserve">3091 Fabricación de motocicletas</t>
  </si>
  <si>
    <t xml:space="preserve">3092 Fabricación de bicicletas y de sillas de ruedas para personas con discapacidad</t>
  </si>
  <si>
    <t xml:space="preserve">3099 Fabricación de otros tipos de equipo de transporte n.c.p.</t>
  </si>
  <si>
    <t xml:space="preserve">3110 Fabricación de muebles </t>
  </si>
  <si>
    <t xml:space="preserve">3120 Fabricación de colchones y somieres</t>
  </si>
  <si>
    <t xml:space="preserve">3211 Fabricación de joyas y artículos conexos</t>
  </si>
  <si>
    <t xml:space="preserve">3212 Fabricación de bisutería y artículos conexos</t>
  </si>
  <si>
    <t xml:space="preserve">3220 Fabricación de instrumentos musicales</t>
  </si>
  <si>
    <t xml:space="preserve">3230 Fabricación de artículos y equipo para la práctica del deporte</t>
  </si>
  <si>
    <t xml:space="preserve">3240 Fabricación de juegos, juguetes y rompecabezas</t>
  </si>
  <si>
    <t xml:space="preserve">3250 Fabricación de instrumentos, aparatos y materiales médicos y odontológicos (incluido mobiliario)</t>
  </si>
  <si>
    <t xml:space="preserve">3290 Otras industrias manufactureras n.c.p.</t>
  </si>
  <si>
    <t xml:space="preserve">3311 Mantenimiento y reparación especializado de productos elaborados en metal</t>
  </si>
  <si>
    <t xml:space="preserve">3312 Mantenimiento y reparación especializado de maquinaria y equipo</t>
  </si>
  <si>
    <t xml:space="preserve">3314 Mantenimiento y reparación especializado de equipo electrónico y óptico</t>
  </si>
  <si>
    <t xml:space="preserve">3315 Mantenimiento y reparación especializado de equipo de transporte, excepto los vehículos automotores, motocicletas y bicicletas</t>
  </si>
  <si>
    <t xml:space="preserve">3319 Mantenimiento y reparación de otros tipos de equipos y sus componentes n.c.p.</t>
  </si>
  <si>
    <t xml:space="preserve">3320 Instalación especializada de maquinaria y equipo industrial </t>
  </si>
  <si>
    <t xml:space="preserve">Coordinación Nacional de Emprendimiento, Dirección de Empleo y Trabajo (2026)</t>
  </si>
  <si>
    <t xml:space="preserve">INSTRUCCIONES</t>
  </si>
  <si>
    <r>
      <rPr>
        <sz val="11"/>
        <color rgb="FF000000"/>
        <rFont val="Century Gothic"/>
        <family val="2"/>
      </rPr>
      <t xml:space="preserve">Este instrumento orienta el registro de la información necesaria para estructurar el plan de negocio de una iniciativa productiva para CREAR.
</t>
    </r>
    <r>
      <rPr>
        <b val="true"/>
        <sz val="11"/>
        <color rgb="FF000000"/>
        <rFont val="Century Gothic"/>
        <family val="2"/>
      </rPr>
      <t xml:space="preserve">DILIGENCIE ÚNICAMENTE LAS CELDAS SOMBREADAS EN GRIS. </t>
    </r>
    <r>
      <rPr>
        <sz val="11"/>
        <color rgb="FF000000"/>
        <rFont val="Century Gothic"/>
        <family val="2"/>
      </rPr>
      <t xml:space="preserve">Se debe mantener la estructura original de la herramienta, sin realizar cambios en las columnas, pestañas, fórmulas, formatos de celdas o cualquier otro elemento que afecte su integridad.
La información debe diligenciarse de manera clara, coherente y verificable, considerando que esta es la herramienta para el análisis técnico, comercial, financiero y jurídico del proyecto en la fase de EVALUACIÓN.
Durante la Ruta Emprendedora, el SENA acompaña el proceso de formulación; sin embargo, la información registrada es responsabilidad del emprendedor o grupo postulante.</t>
    </r>
  </si>
  <si>
    <t xml:space="preserve">HOJA 1 PROYECTO</t>
  </si>
  <si>
    <t xml:space="preserve">INFORMACIÓN DEL PROYECTO</t>
  </si>
  <si>
    <r>
      <rPr>
        <sz val="11"/>
        <color rgb="FF000000"/>
        <rFont val="Century Gothic"/>
        <family val="2"/>
      </rPr>
      <t xml:space="preserve">Permite identificar las características generales de la iniciativa.
</t>
    </r>
    <r>
      <rPr>
        <b val="true"/>
        <sz val="11"/>
        <color rgb="FF000000"/>
        <rFont val="Century Gothic"/>
        <family val="2"/>
      </rPr>
      <t xml:space="preserve">Líder o representante de la iniciativa: </t>
    </r>
    <r>
      <rPr>
        <sz val="11"/>
        <color rgb="FF000000"/>
        <rFont val="Century Gothic"/>
        <family val="2"/>
      </rPr>
      <t xml:space="preserve">Registre los nombres y apellidos completos de la  persona líder o representante del proyecto, 
</t>
    </r>
    <r>
      <rPr>
        <b val="true"/>
        <sz val="11"/>
        <color rgb="FF000000"/>
        <rFont val="Century Gothic"/>
        <family val="2"/>
      </rPr>
      <t xml:space="preserve">Nombre de la iniciativa: </t>
    </r>
    <r>
      <rPr>
        <sz val="11"/>
        <color rgb="FF000000"/>
        <rFont val="Century Gothic"/>
        <family val="2"/>
      </rPr>
      <t xml:space="preserve">Ingrese el nombre con el cual se identificará el negocio. Debe ser claro y coherente con la actividad económica.
</t>
    </r>
    <r>
      <rPr>
        <b val="true"/>
        <sz val="11"/>
        <color rgb="FF000000"/>
        <rFont val="Century Gothic"/>
        <family val="2"/>
      </rPr>
      <t xml:space="preserve">Categoría del sector económico: </t>
    </r>
    <r>
      <rPr>
        <sz val="11"/>
        <color rgb="FF000000"/>
        <rFont val="Century Gothic"/>
        <family val="2"/>
      </rPr>
      <t xml:space="preserve">Seleccione la categoría correspondiente según la caracterización del emprendedor o grupo, conforme a las condiciones de la convocatoria.
Si elige la categoría </t>
    </r>
    <r>
      <rPr>
        <b val="true"/>
        <sz val="11"/>
        <color rgb="FF000000"/>
        <rFont val="Century Gothic"/>
        <family val="2"/>
      </rPr>
      <t xml:space="preserve">CAMPESINOS</t>
    </r>
    <r>
      <rPr>
        <sz val="11"/>
        <color rgb="FF000000"/>
        <rFont val="Century Gothic"/>
        <family val="2"/>
      </rPr>
      <t xml:space="preserve"> desplegará únicamente los sectores y las actividades permitidas para la Economía Campesina de acuerdo a los indicado en los términos de referencia de cada convocatoria
Si elige la categoría </t>
    </r>
    <r>
      <rPr>
        <b val="true"/>
        <sz val="11"/>
        <color rgb="FF000000"/>
        <rFont val="Century Gothic"/>
        <family val="2"/>
      </rPr>
      <t xml:space="preserve">TODOS LOS SECTORES</t>
    </r>
    <r>
      <rPr>
        <sz val="11"/>
        <color rgb="FF000000"/>
        <rFont val="Century Gothic"/>
        <family val="2"/>
      </rPr>
      <t xml:space="preserve"> desplegará todos los sectores y actividades económicas vigentes, las cuales también aplican para Economía Popular.
La elección de la categoría dependerá del autorreconocimiento o caracterización del representante o grupo asociativo y de la focalización que disponga la Convocatoria a la que desee postularse.
</t>
    </r>
    <r>
      <rPr>
        <b val="true"/>
        <sz val="11"/>
        <color rgb="FF000000"/>
        <rFont val="Century Gothic"/>
        <family val="2"/>
      </rPr>
      <t xml:space="preserve">Tipo de proyecto: </t>
    </r>
    <r>
      <rPr>
        <sz val="11"/>
        <color rgb="FF000000"/>
        <rFont val="Century Gothic"/>
        <family val="2"/>
      </rPr>
      <t xml:space="preserve">Seleccione la opción que describa el tipo de iniciativa que se pretende desarrollar. En caso de ser asociativo, indicar cuántas personas hacen parte del grupo asociativo, las cuales deben coincidir en todo el proyecto y en los documentos de acreditación para su postulación.
</t>
    </r>
    <r>
      <rPr>
        <b val="true"/>
        <sz val="11"/>
        <color rgb="FF000000"/>
        <rFont val="Century Gothic"/>
        <family val="2"/>
      </rPr>
      <t xml:space="preserve">Lugar de operación: </t>
    </r>
    <r>
      <rPr>
        <sz val="11"/>
        <color rgb="FF000000"/>
        <rFont val="Century Gothic"/>
        <family val="2"/>
      </rPr>
      <t xml:space="preserve">Indique si cuenta con un lugar donde funcionará la iniciativa. El lugar de operación corresponde al sitio donde se desarrollarán las actividades productivas o comerciales.
En caso de resultar beneficiario de recursos, deberá evidenciarse la gestión del lugar de operación mediante documentos como: certificado de uso del suelo, certificado de tradición y libertad o certificación de sana posesión, según aplique, dentro del plazo establecido en el proceso contractual.</t>
    </r>
  </si>
  <si>
    <t xml:space="preserve">1.¿QUIEN ES EL CLIENTE DE SU INICIATIVA? (Quien compra mis productos o servicios)</t>
  </si>
  <si>
    <r>
      <rPr>
        <sz val="11"/>
        <color rgb="FF000000"/>
        <rFont val="Century Gothic"/>
        <family val="2"/>
      </rPr>
      <t xml:space="preserve">En este espacio debe identificar claramente a su cliente, es decir, la persona o grupo que le va a comprar los productos o servicios. Escríbalo con el mayor detalle posible: quién es, cómo vive, qué edad tiene, qué gustos o necesidades tiene y por qué le compraría. La idea es que lo describa como si estuviera hablando de un hijo o de un familiar muy cercano, conociendo sus costumbres, lo que le gusta y lo que necesita.
Describa las características del </t>
    </r>
    <r>
      <rPr>
        <b val="true"/>
        <sz val="11"/>
        <color rgb="FF000000"/>
        <rFont val="Century Gothic"/>
        <family val="2"/>
      </rPr>
      <t xml:space="preserve">cliente o consumidor (los cuales pueden ser diferentes) </t>
    </r>
    <r>
      <rPr>
        <sz val="11"/>
        <color rgb="FF000000"/>
        <rFont val="Century Gothic"/>
        <family val="2"/>
      </rPr>
      <t xml:space="preserve">que comprará su producto o servicio. Indique dónde vive (región, sector (sector urbano, rural), vereda, municipio o ciudad), su estrato socieconómico, rango de edad y género. Explique su capacidad de compra o nivel de ingresos, es decir, si tiene los ingresos suficientes y la frecuencia para poder pagar por el producto o servicio. Señale si trabaja y en qué, su estado civil, la estructura familar, si tiene hijos y si vive en casa propia o en arriendo. También describa sus hábitos de consumo, como cada cuánto compra, qué cantidad consume y qué prefiere al momento de elegir. Incluya cifras o estadísticas que ayuden a mostrar mejor este perfil. Indique el tamaño del mercado desde lo general a lo particular con los criterios que se consideraron para su determinación.
Debe describir con detalle cómo es su cliente en cuanto a gustos y preferencias. Mencione qué cosas le gustan, qué le da miedo, qué lo hace feliz y cuáles es su estilo de vida, actividades que realiza, intereses, opiniones, personalidad, ventajas deseadas del producto, usos que da al producto, ocasiones en que lo compra, frecuencia de compra, cantidad de compra, medios de pago (efectivo, transferencia, crédito), valores y creencias. También puede contar qué le gusta comer, si disfruta viajar u otras actividades que hagan parte de su vida. La idea es conocer al cliente como a un familiar cercano, entendiendo sus costumbres, motivaciones y forma de vivir, para saber mejor cómo ofrecerle el producto o servicio.</t>
    </r>
  </si>
  <si>
    <t xml:space="preserve">2. PLANTEAMIENTO DEL PROBLEMA O NECESIDAD QUE SE PRETENDE SOLUCIONAR</t>
  </si>
  <si>
    <t xml:space="preserve">En este espacio identifique el dolor o la necesidad no resuelta del cliente o consumidor que solucionará al usar el producto o servicio. Este elemento busca que se responde a la pregunta ¿Cuál es el problema o necesidad que se pretende solucionar? ¿Cómo le estoy ayudando al cliente? Ojo! No es su problema personal o del grupo asociativo, sino el problema o necesidad del posible cliente del punto anterior. </t>
  </si>
  <si>
    <t xml:space="preserve">3. LA COMPETENCIA (Quien más lo hace?)</t>
  </si>
  <si>
    <t xml:space="preserve">Siempre hay competencia, hay que reconocerlo y son esos que hacen lo mismo que queremos hacer, o los que con su producto o servicio reemplazan lo que queremos hacer, describa tres (3) competidores y en qué se diferencia de ellos. 
Identifique los principales competidores que ofrecen productos o servicios similares. Describa sus características generales y los aspectos que los clientes valoran de ellos.
Explique qué hace diferente su iniciativa frente a la competencia y por qué los clientes preferirían adquirir su producto o servicio. Puede relacionarse con calidad, precio, ubicación, innovación, servicio al cliente, experiencia u otros factores diferenciadores.</t>
  </si>
  <si>
    <t xml:space="preserve">4. DESCRIPCIÓN DEL PROYECTO (Qué es lo que voy a ofrecer?)</t>
  </si>
  <si>
    <t xml:space="preserve">Aquí debe explicar en qué consiste su iniciativa y qué la hace diferente de las demás. Señale cuál es la ventaja que tiene frente a otros productos o servicios que ya existen en el mercado. Describa ese detalle especial, único o distinto que le agrega a su producto o servicio y que hace que el cliente lo prefiera, ya sea por su calidad, el precio justo, la forma en que se produce, el cuidado con que se entrega o cualquier otro aspecto que lo haga sobresalir, mejor que la competencia.</t>
  </si>
  <si>
    <t xml:space="preserve">5. PRODUCTOS O SERVICIOS</t>
  </si>
  <si>
    <t xml:space="preserve">En este elemento se debe relacionar y describir los productos o servicios a ofrecer al cliente. Descríbalos, indique cual es la unidad de medida (Libras, Kilos...), presentación. Agrúpelos en únicamente tres (3) productos o servicios.</t>
  </si>
  <si>
    <t xml:space="preserve">6. PROCESO TÉCNICO</t>
  </si>
  <si>
    <t xml:space="preserve">Explique de forma clara cómo se hace su producto o se presta el servicio, paso a paso desde el inicio hasta la entrega al cliente (por ejemplo: preparar el terreno o el lugar, comprar insumos, producir/sembrar, cuidar y controlar plagas, cosechar o elaborar, seleccionar, empacar, almacenar y transportar; en servicios: recibir al cliente, hacer la atención, revisar calidad y cobrar). Escriba cada actividad tal como ocurre, diciendo quién la hace, con qué herramienta o equipo y cuánto tiempo tarda; si aplica, mencione en qué épocas del año se realiza (temporadas). No olvide contar lo que lo hace diferente, como usar insumos amigables con el ambiente (fungicidas o controladores biológicos), buenas prácticas (ahorro de agua y energía, manejo de residuos), empaques retornables o recetas/procesos propios. Si corresponde, incluya medidas de higiene y seguridad que aplica en el proceso.
Debe ser claro, ordenado y coherente con la iniciativa productiva propuesta.
Dentro de este elemento también deberá registrar la capacidad instalada, la cual corresponde al cálculo de la cantidad máxima que puede producir o atender del producto o servicio con los recursos disponibles, teniendo en cuenta las herramientas, equipos, tiempo de trabajo y las personas que participan en la actividad. 
La capacidad instalada no se calcula por persona de manera individual, sino por el total de lo que el negocio puede producir o atender en conjunto en un periodo determinado (por ejemplo, al mes).
Para realizar el cálculo tenga en cuenta:
Producción o servicios por hora
Horas de trabajo al día
Días de trabajo en el mes
El resultado permitirá estimar el total de unidades por producto o servicio que la iniciativa puede producir o atender mensualmente.</t>
  </si>
  <si>
    <t xml:space="preserve">7. TRÁMITES LEGALES (PERMISOS Y LICENCIAS)</t>
  </si>
  <si>
    <r>
      <rPr>
        <sz val="11"/>
        <color rgb="FF000000"/>
        <rFont val="Century Gothic"/>
        <family val="2"/>
      </rPr>
      <t xml:space="preserve">Se debe indicar ¿Cuál es el tipo de registro formal que tendrá la iniciativa? Es importante analizar de acuerdo con la actividad económica a realizar y lo planteado en la iniciativa, cuál es la mejor forma de registro formal si la iniciativa llega a ser beneficiaria de los recursos del Fondo Emprender 
Adicional, identifique los permisos, licencias, registros o requisitos legales necesarios para el funcionamiento del negocio, de acuerdo con la actividad económica que desarrollará (por ejemplo: registro sanitario, uso del suelo, permisos ambientales, registros ante entidades de control, entre otros).
Es importante que antes de iniciar la operación del negocio tenga claridad sobre los requisitos exigidos por las autoridades, ya que el desconocimiento de estos puede generar retrasos, sanciones o impedir el funcionamiento de la iniciativa. 
Tenga en cuenta las siguientes recomendaciones:
Consulte en la Alcaldía o autoridad local si la actividad económica está permitida en el lugar donde funcionará el negocio (uso del suelo).
Verifique si su actividad requiere permisos sanitarios, registros ante autoridades de salud o entidades como INVIMA, ICA u otras según el sector.
Identifique si necesita permisos ambientales, especialmente en actividades agropecuarias, transformación de alimentos, manejo de residuos o uso de recursos naturales.
Confirme los tiempos de obtención de los permisos, ya que algunos pueden tardar varias semanas o meses.
Consulte los costos asociados a los trámites para ser incluidos en este elemento. </t>
    </r>
    <r>
      <rPr>
        <b val="true"/>
        <sz val="11"/>
        <color rgb="FF000000"/>
        <rFont val="Century Gothic"/>
        <family val="2"/>
      </rPr>
      <t xml:space="preserve">Se debe incorporar en este espacio el valor de la constitución formal sin embargo RECUERDE QUE ESTE VALOR DEBERÁ SER ASUMIDO POR EL EMPRENDEDOR O GRUPO ASOCIATIVO,</t>
    </r>
    <r>
      <rPr>
        <sz val="11"/>
        <color rgb="FF000000"/>
        <rFont val="Century Gothic"/>
        <family val="2"/>
      </rPr>
      <t xml:space="preserve"> dado que es un Rubro No financiable de acuerdo con la normatividad vigente.
</t>
    </r>
    <r>
      <rPr>
        <i val="true"/>
        <sz val="11"/>
        <color rgb="FF000000"/>
        <rFont val="Century Gothic"/>
        <family val="2"/>
      </rPr>
      <t xml:space="preserve">Recuerde: "El desconocimiento de la ley no exime de su cumplimiento."</t>
    </r>
  </si>
  <si>
    <t xml:space="preserve">8. CANALES (¿Cómo van a conocer mi negocio?)</t>
  </si>
  <si>
    <r>
      <rPr>
        <sz val="11"/>
        <color rgb="FF000000"/>
        <rFont val="Century Gothic"/>
        <family val="2"/>
      </rPr>
      <t xml:space="preserve">En este espacio indique de qué forma espera que los clientes sepan de sus productos o servicios. Registre los canales y acciones que usará para comunicar y promocionar su negocio en la comunidad o mercado y asígneles el costo asociado.
Lo que escriba debe ser coherente con su cliente o mercado objetivo. Es decir, la forma en que dará a conocer su negocio debe tener sentido con el tipo de cliente al que quiere llegar y con el lugar donde se encuentra.
Por ejemplo:
Si su cliente está en la vereda y no usa redes sociales, no tendría sentido basar toda la estrategia en Instagram o página web.
Si su cliente son restaurantes por ejemplo, el voz a voz puede no ser suficiente y será necesario hacer visitas comerciales o enviar propuestas formales.
Si vende productos agrícolas frescos, puede funcionar mejor la venta directa, mercados campesinos o alianzas con tiendas locales.
Si su cliente es joven y urbano, las redes sociales pueden ser un canal clave.
La estrategia que describa debe ser posible, clara y acorde con el territorio, el tipo de cliente y los recursos del negocio.
Debe diligenciar el valor en pesos ($) para el primer año, que tendría la estrategia o actividad registrada en este elemento. Si el costo de la acción es $0 o es asumida por el emprendedor, colocar $0 en la celda </t>
    </r>
    <r>
      <rPr>
        <i val="true"/>
        <sz val="11"/>
        <color rgb="FF000000"/>
        <rFont val="Century Gothic"/>
        <family val="2"/>
      </rPr>
      <t xml:space="preserve">(Cuanto vale para el primer año)
</t>
    </r>
    <r>
      <rPr>
        <sz val="11"/>
        <color rgb="FF000000"/>
        <rFont val="Century Gothic"/>
        <family val="2"/>
      </rPr>
      <t xml:space="preserve">Diligenciar en todo caso la actividad a realizar, para que esta pueda ser contabilizada en el indicador eventos de mercadeo</t>
    </r>
  </si>
  <si>
    <t xml:space="preserve">9. PROYECCIÓN DE VENTAS (Cuánto se espera vender?)</t>
  </si>
  <si>
    <t xml:space="preserve">En este espacio se debe realizar la proyección de ventas a cinco años. Para los productos o servicios indique el incremento que este precio tendrá año a año teniendo en cuenta indicadores macroeconómicos como el IPC (Indice de precios al consumidor) y el IPP (Indice de precios al productor).
Es decir, en este espacio debe calcular cuánto espera vender en los próximos cinco (5) años y cómo pueden cambiar los precios con el tiempo, además de explicar brevemente por qué cree que podrá vender esas cantidades, por ejemplo: porque tendrá más clientes, producirá más, el negocio será más conocido o venderá en nuevos lugares.
Esto es importante para asegurar que los valores que coloque sean posibles de cumplir en la realidad, según su capacidad y las condiciones del negocio.</t>
  </si>
  <si>
    <t xml:space="preserve">10. COSTOS Y GASTOS</t>
  </si>
  <si>
    <r>
      <rPr>
        <sz val="11"/>
        <color rgb="FF000000"/>
        <rFont val="Century Gothic"/>
        <family val="2"/>
      </rPr>
      <t xml:space="preserve">En este espacio, Incluya todos los costos y gastos necesarios para el funcionamiento del negocio, teniendo en cuenta valores reales del mercado y lo que realmente se requiere para producir o prestar el servicio.
</t>
    </r>
    <r>
      <rPr>
        <b val="true"/>
        <sz val="11"/>
        <color rgb="FF000000"/>
        <rFont val="Century Gothic"/>
        <family val="2"/>
      </rPr>
      <t xml:space="preserve">Considere los siguientes conceptos:
Costos de producción o prestación del servicio:
</t>
    </r>
    <r>
      <rPr>
        <sz val="11"/>
        <color rgb="FF000000"/>
        <rFont val="Century Gothic"/>
        <family val="2"/>
      </rPr>
      <t xml:space="preserve">Corresponden a los costos directamente relacionados con la elaboración del producto o la prestación del servicio. Por ejemplo: materias primas, insumos, semillas, alimento para animales, empaques, energía utilizada en el proceso productivo, mantenimiento de equipos utilizados en la producción, transporte de insumos u otros elementos necesarios para producir.
</t>
    </r>
    <r>
      <rPr>
        <b val="true"/>
        <sz val="11"/>
        <color rgb="FF000000"/>
        <rFont val="Century Gothic"/>
        <family val="2"/>
      </rPr>
      <t xml:space="preserve">Costos fijos y costos variables
</t>
    </r>
    <r>
      <rPr>
        <sz val="11"/>
        <color rgb="FF000000"/>
        <rFont val="Century Gothic"/>
        <family val="2"/>
      </rPr>
      <t xml:space="preserve">Costos fijos: se mantienen aunque la producción cambie.
Costos variables: cambian según la cantidad producida o vendida.
Es importante incluir todos los costos reales del negocio, aunque parezcan pequeños, ya que esto permite calcular correctamente si la actividad será viable.
</t>
    </r>
    <r>
      <rPr>
        <b val="true"/>
        <sz val="11"/>
        <color rgb="FF000000"/>
        <rFont val="Century Gothic"/>
        <family val="2"/>
      </rPr>
      <t xml:space="preserve">Gastos de administración y ventas
</t>
    </r>
    <r>
      <rPr>
        <sz val="11"/>
        <color rgb="FF000000"/>
        <rFont val="Century Gothic"/>
        <family val="2"/>
      </rPr>
      <t xml:space="preserve">Los gastos de administración y ventas son aquellos costos que no hacen parte directa de la producción, pero que son necesarios para que la organización o asociación pueda funcionar y vender.
Por ejemplo están los gastos de oficina, papelería, servicios de teléfono o internet, gastos para dar a conocer y ofrecer el producto o servicio, como publicidad, afiches, volantes, mensajes por redes sociales, transporte para llevar el producto al cliente o comisiones por ventas.
En este punto es importante que exista coherencia con lo definido en el elemento Canales, es decir, los gastos de ventas deben corresponder a las estrategias que indicó para dar a conocer y comercializar su producto o servicio. Por ejemplo, si indicó domicilios o entrega al cliente, debe considerar los costos de transporte; si indicó redes sociales o publicidad, debe incluir los gastos asociados a esas acciones.</t>
    </r>
  </si>
  <si>
    <t xml:space="preserve">11. EQUIPO DE TRABAJO</t>
  </si>
  <si>
    <r>
      <rPr>
        <sz val="11"/>
        <color rgb="FF000000"/>
        <rFont val="Century Gothic"/>
        <family val="2"/>
      </rPr>
      <t xml:space="preserve">Diligencie cada uno de los cargos (autoempleo, puesto de trabajo, empleo directo) que harán parte del equipo de trabajo, sea cuidadosa(o) con el diligenciamiento dado que así deberá ejecutarse en la implementación del proyecto.
Describa detalladamente las principales funciones o actividades a realizar.
El diligenciamiento exclusivo de este elemento se verá reflejado en el indicador de Empleos a crear con los que se compromete el emprendedor o grupo asociativo. Para cada cargo debe indicar:
</t>
    </r>
    <r>
      <rPr>
        <b val="true"/>
        <sz val="11"/>
        <color rgb="FF000000"/>
        <rFont val="Century Gothic"/>
        <family val="2"/>
      </rPr>
      <t xml:space="preserve">Rol o cargo:
</t>
    </r>
    <r>
      <rPr>
        <sz val="11"/>
        <color rgb="FF000000"/>
        <rFont val="Century Gothic"/>
        <family val="2"/>
      </rPr>
      <t xml:space="preserve">Nombre del cargo dentro del negocio (por ejemplo: administrador, operario, vendedor, auxiliar, etc.).
</t>
    </r>
    <r>
      <rPr>
        <b val="true"/>
        <sz val="11"/>
        <color rgb="FF000000"/>
        <rFont val="Century Gothic"/>
        <family val="2"/>
      </rPr>
      <t xml:space="preserve">Tipo de vinculación:
</t>
    </r>
    <r>
      <rPr>
        <sz val="11"/>
        <color rgb="FF000000"/>
        <rFont val="Century Gothic"/>
        <family val="2"/>
      </rPr>
      <t xml:space="preserve">Seleccione la forma de vinculación según las opciones del formato.
Recuerde que el factor prestacional aplica cuando existe vinculación laboral y no aplica en contratos por prestación de servicios.
</t>
    </r>
    <r>
      <rPr>
        <b val="true"/>
        <sz val="11"/>
        <color rgb="FF000000"/>
        <rFont val="Century Gothic"/>
        <family val="2"/>
      </rPr>
      <t xml:space="preserve">Principales funciones o actividades a realizar:
</t>
    </r>
    <r>
      <rPr>
        <sz val="11"/>
        <color rgb="FF000000"/>
        <rFont val="Century Gothic"/>
        <family val="2"/>
      </rPr>
      <t xml:space="preserve">Describa de manera clara las funciones que cumplirá el cargo dentro del negocio, en coherencia con el proceso técnico y las actividades del proyecto.
</t>
    </r>
    <r>
      <rPr>
        <b val="true"/>
        <sz val="11"/>
        <color rgb="FF000000"/>
        <rFont val="Century Gothic"/>
        <family val="2"/>
      </rPr>
      <t xml:space="preserve">Asignación mensual ($):
</t>
    </r>
    <r>
      <rPr>
        <sz val="11"/>
        <color rgb="FF000000"/>
        <rFont val="Century Gothic"/>
        <family val="2"/>
      </rPr>
      <t xml:space="preserve">Indique el valor mensual correspondiente.
En caso de jornales, calcule el número de días requeridos en el mes y registre el valor total mensual.
Factor prestacional (cuando aplique)
Incluya el porcentaje correspondiente si existe relación laboral.
</t>
    </r>
    <r>
      <rPr>
        <b val="true"/>
        <sz val="11"/>
        <color rgb="FF000000"/>
        <rFont val="Century Gothic"/>
        <family val="2"/>
      </rPr>
      <t xml:space="preserve">Total asignación mensual:
</t>
    </r>
    <r>
      <rPr>
        <sz val="11"/>
        <color rgb="FF000000"/>
        <rFont val="Century Gothic"/>
        <family val="2"/>
      </rPr>
      <t xml:space="preserve">Corresponde al valor total mensual del cargo, incluyendo el factor prestacional cuando aplique.
</t>
    </r>
    <r>
      <rPr>
        <b val="true"/>
        <sz val="11"/>
        <color rgb="FF000000"/>
        <rFont val="Century Gothic"/>
        <family val="2"/>
      </rPr>
      <t xml:space="preserve">Meses requeridos en Año 1:
</t>
    </r>
    <r>
      <rPr>
        <sz val="11"/>
        <color rgb="FF000000"/>
        <rFont val="Century Gothic"/>
        <family val="2"/>
      </rPr>
      <t xml:space="preserve">Indique durante cuántos meses del primer año será necesario el cargo.
</t>
    </r>
  </si>
  <si>
    <t xml:space="preserve">12. NECESIDADES Y REQUERIMIENTOS</t>
  </si>
  <si>
    <r>
      <rPr>
        <sz val="11"/>
        <color rgb="FF000000"/>
        <rFont val="Century Gothic"/>
        <family val="2"/>
      </rPr>
      <t xml:space="preserve">En este espacio debe registrar todos los recursos requeridos para el desarrollo del proyecto que serán solicitados al Fondo Emprender, necesarios para poner en marcha y operar la iniciativa productiva.
Incluya los elementos que el negocio necesita para su funcionamiento, tales como maquinaria, equipos, herramientas, adecuaciones técnicas, insumos, materia prima, gastos de administración y ventas y demás recursos necesarios para la implementación del proyecto.
Al diligenciar este elemento tenga en cuenta lo siguiente:
La normatividad indica unos</t>
    </r>
    <r>
      <rPr>
        <b val="true"/>
        <sz val="11"/>
        <color rgb="FF000000"/>
        <rFont val="Century Gothic"/>
        <family val="2"/>
      </rPr>
      <t xml:space="preserve"> rubros financiables</t>
    </r>
    <r>
      <rPr>
        <sz val="11"/>
        <color rgb="FF000000"/>
        <rFont val="Century Gothic"/>
        <family val="2"/>
      </rPr>
      <t xml:space="preserve"> y hay unos porcentajes máximos permitidos para alguno de estos rubros.
*Pago de salarios u honorarios
*Insumos para el ciclo productivo (materia prima y bienes en proceso) que contribuyan de manera directa o que forman parte del proceso de producción.
*Adquisición de maquinaria, equipos y software.
*Costos que se generen por permisos, licencias y registros, requeridos por la ley para el normal funcionamiento del proyecto.
*Adquisición o arriendo de bienes muebles y vehículos automotores: hasta el 15% del recurso asignado.
*Adecuaciones o remodelaciones estructurales y locativas del inmueble: hasta el 20% del recurso asignado.
*Adecuaciones técnicas necesarias para el proceso productivo o montaje industrial (debidamente justificadas): hasta el 50% del recurso asignado.
*Adquisición e implementación de franquicias
*Tasas para el registro de derechos de propiedad intelectual o industrial: hasta el 20% del recurso asignado.
Adicionalmente, tenga en cuenta que el Fondo Emprender</t>
    </r>
    <r>
      <rPr>
        <b val="true"/>
        <sz val="11"/>
        <color rgb="FF000000"/>
        <rFont val="Century Gothic"/>
        <family val="2"/>
      </rPr>
      <t xml:space="preserve"> no financia los siguientes conceptos:
</t>
    </r>
    <r>
      <rPr>
        <sz val="11"/>
        <color rgb="FF000000"/>
        <rFont val="Century Gothic"/>
        <family val="2"/>
      </rPr>
      <t xml:space="preserve">*Compra de bienes inmuebles.
*Compra de bienes muebles que no estén relacionados con el objeto del proyecto.
*Adecuaciones de bienes inmuebles que no conformen el proceso de dotación técnica y que no sean indispensables para el desarrollo del proyecto o de la iniciativa empresarial.
*Estudios de factibilidad de proyectos (consultorías, asesoría jurídica, financiera, entre otros).
*Adquisición de vehículos que no estén relacionados con el objeto del proyecto o de la iniciativa empresarial.
*Pago de pasivos, deudas o dividendos.
*Recuperaciones de capital.
*Compra de acciones, derechos de empresas, bonos y otros valores mobiliarios, exceptuando los derechos asociados a franquicias cuando esta haga parte de la naturaleza del proyecto o de la iniciativa empresarial.
*Pago de regalías, impuestos causados o aportes parafiscales.
*Formación académica.
*Pago de derechos o inscripciones para participar en eventos comerciales nacionales o internacionales.
*Gastos de viaje y desplazamiento.
*Pago de inscripción y registro empresarial.
Finalmente, tenga en cuenta que para el caso de recurso humano se recomienda contemplar al menos cuatro (4) meses de vinculación, con el fin de dar cumplimiento a los indicadores asociados a la condonación de los recursos.</t>
    </r>
  </si>
  <si>
    <t xml:space="preserve">13. VALOR DE LA INICIATIVA (Tenga en cuenta los montos autorizados para las postulaciones según los Términos de Referencia de la Convocatoria)</t>
  </si>
  <si>
    <t xml:space="preserve">En este elemento se debe verificar que el valor total solicitado para el proyecto se encuentre dentro de los rangos establecidos para la convocatoria y que sea coherente con el número de integrantes del grupo asociativo y con los empleos que se proyectan generar.</t>
  </si>
  <si>
    <t xml:space="preserve">14. ¿QUÉ AVANCES DEL PROYECTO SE TIENEN A ESTE MOMENTO?</t>
  </si>
  <si>
    <r>
      <rPr>
        <sz val="11"/>
        <color rgb="FF000000"/>
        <rFont val="Century Gothic"/>
        <family val="2"/>
      </rPr>
      <t xml:space="preserve">En este espacio debe describir los avances que tiene actualmente la iniciativa o la actividad productiva, indicando información concreta que permita evidenciar el estado actual del proyecto antes de su implementación.
Registre información medible y verificable, señalando qué se ha realizado hasta el momento en los siguientes aspectos del negocio:
</t>
    </r>
    <r>
      <rPr>
        <b val="true"/>
        <sz val="11"/>
        <color rgb="FF000000"/>
        <rFont val="Century Gothic"/>
        <family val="2"/>
      </rPr>
      <t xml:space="preserve">*Avances técnicos:
</t>
    </r>
    <r>
      <rPr>
        <sz val="11"/>
        <color rgb="FF000000"/>
        <rFont val="Century Gothic"/>
        <family val="2"/>
      </rPr>
      <t xml:space="preserve">Indicar si se han realizado actividades relacionadas con la producción o prestación del servicio. Señale qué productos o servicios ha elaborado o validado, qué equipos o herramientas utiliza actualmente, el volumen aproximado que ha producido o la capacidad que tiene para desarrollar la actividad.
</t>
    </r>
    <r>
      <rPr>
        <b val="true"/>
        <sz val="11"/>
        <color rgb="FF000000"/>
        <rFont val="Century Gothic"/>
        <family val="2"/>
      </rPr>
      <t xml:space="preserve">*Avances comerciales:
</t>
    </r>
    <r>
      <rPr>
        <sz val="11"/>
        <color rgb="FF000000"/>
        <rFont val="Century Gothic"/>
        <family val="2"/>
      </rPr>
      <t xml:space="preserve">Describir las acciones que ha realizado para ofrecer o comercializar el producto o servicio. Indique si ha realizado ventas, qué productos ha vendido, cantidades aproximadas, valores de venta y si estas ventas han sido ocasionales o constantes. También puede señalar si ya cuenta con clientes, pedidos o acuerdos comerciales.
</t>
    </r>
    <r>
      <rPr>
        <b val="true"/>
        <sz val="11"/>
        <color rgb="FF000000"/>
        <rFont val="Century Gothic"/>
        <family val="2"/>
      </rPr>
      <t xml:space="preserve">*Avances legales:
</t>
    </r>
    <r>
      <rPr>
        <sz val="11"/>
        <color rgb="FF000000"/>
        <rFont val="Century Gothic"/>
        <family val="2"/>
      </rPr>
      <t xml:space="preserve">Indicar si ha adelantado gestiones relacionadas con el funcionamiento del negocio, permisos, registros,  licencias para la operación de la unidad productiva o si ya los tiene indicarlos en este espacio.
</t>
    </r>
    <r>
      <rPr>
        <b val="true"/>
        <sz val="11"/>
        <color rgb="FF000000"/>
        <rFont val="Century Gothic"/>
        <family val="2"/>
      </rPr>
      <t xml:space="preserve">*Avances ambientales:
</t>
    </r>
    <r>
      <rPr>
        <sz val="11"/>
        <color rgb="FF000000"/>
        <rFont val="Century Gothic"/>
        <family val="2"/>
      </rPr>
      <t xml:space="preserve">Señalar si se ha implementado aspectos ambientales relacionados con la actividad, como manejo de residuos, uso de recursos naturales o cumplimiento de requisitos ambientales. 
La información registrada debe permitir identificar claramente qué aspectos del proyecto ya se han desarrollado y cuáles aún requieren fortalecimiento para su implementación.</t>
    </r>
  </si>
  <si>
    <t xml:space="preserve">15. PLAN OPERATIVO</t>
  </si>
  <si>
    <t xml:space="preserve">En este espacio se debe programar en qué mes se ejecutarán las actividades asociadas a los recursos solicitados en el elemento “Necesidades y Requerimientos”.
Cada recurso o inversión registrada debe reflejarse en una actividad dentro del plan operativo, indicando el mes en el que se realizará durante la ejecución del proyecto.
La programación debe mostrar de manera ordenada cuándo se realizarán acciones como la adquisición de equipos o insumos, adecuaciones necesarias, inicio de la producción o prestación del servicio y demás actividades necesarias para poner en marcha el negocio.</t>
  </si>
  <si>
    <t xml:space="preserve">16. IMPACTO</t>
  </si>
  <si>
    <r>
      <rPr>
        <sz val="11"/>
        <color rgb="FF000000"/>
        <rFont val="Century Gothic"/>
        <family val="2"/>
      </rPr>
      <t xml:space="preserve">En este espacio debe describir los impactos que se espera generar con el desarrollo del proyecto, teniendo en cuenta los siguientes aspectos:
</t>
    </r>
    <r>
      <rPr>
        <b val="true"/>
        <sz val="11"/>
        <color rgb="FF000000"/>
        <rFont val="Century Gothic"/>
        <family val="2"/>
      </rPr>
      <t xml:space="preserve">Impacto económico:
</t>
    </r>
    <r>
      <rPr>
        <sz val="11"/>
        <color rgb="FF000000"/>
        <rFont val="Century Gothic"/>
        <family val="2"/>
      </rPr>
      <t xml:space="preserve">Explique cómo el proyecto contribuirá a la generación de ingresos, al fortalecimiento de la actividad productiva y a la generación de empleo. Indique resultados esperados como aumento en la producción, mayores ventas o nuevas oportunidades económicas en el territorio.
</t>
    </r>
    <r>
      <rPr>
        <b val="true"/>
        <sz val="11"/>
        <color rgb="FF000000"/>
        <rFont val="Century Gothic"/>
        <family val="2"/>
      </rPr>
      <t xml:space="preserve">Impacto social:
</t>
    </r>
    <r>
      <rPr>
        <sz val="11"/>
        <color rgb="FF000000"/>
        <rFont val="Century Gothic"/>
        <family val="2"/>
      </rPr>
      <t xml:space="preserve">Describa cómo la iniciativa aportará al bienestar del emprendedor o de los integrantes del grupo asociativo, según corresponda, así como de sus familias o de la comunidad. Señale aspectos como generación de oportunidades de trabajo, fortalecimiento organizativo o mejora en las condiciones de vida.
</t>
    </r>
    <r>
      <rPr>
        <b val="true"/>
        <sz val="11"/>
        <color rgb="FF000000"/>
        <rFont val="Century Gothic"/>
        <family val="2"/>
      </rPr>
      <t xml:space="preserve">Impacto ambiental:
</t>
    </r>
    <r>
      <rPr>
        <sz val="11"/>
        <color rgb="FF000000"/>
        <rFont val="Century Gothic"/>
        <family val="2"/>
      </rPr>
      <t xml:space="preserve">Indique cómo el proyecto tendrá en cuenta el uso responsable de los recursos naturales, el manejo adecuado de residuos o la implementación de prácticas que contribuyan a la protección del entorno.
</t>
    </r>
    <r>
      <rPr>
        <b val="true"/>
        <sz val="11"/>
        <color rgb="FF000000"/>
        <rFont val="Century Gothic"/>
        <family val="2"/>
      </rPr>
      <t xml:space="preserve">Impacto tecnológico:
</t>
    </r>
    <r>
      <rPr>
        <sz val="11"/>
        <color rgb="FF000000"/>
        <rFont val="Century Gothic"/>
        <family val="2"/>
      </rPr>
      <t xml:space="preserve">Explique si el proyecto incorpora herramientas, equipos, procesos o conocimientos que permitan mejorar la producción, aumentar la eficiencia del proceso productivo o mejorar la calidad del producto o servicio.
La información registrada debe ser coherente con las actividades del proyecto.</t>
    </r>
  </si>
  <si>
    <t xml:space="preserve">17. INDICADORES</t>
  </si>
  <si>
    <t xml:space="preserve">En este elemento se presentan los resultados del proyecto a partir de la información registrada en los diferentes componentes del plan.
No requiere diligenciamiento por parte del emprendedor. Su función es permitir la verificación de los resultados que se generan con base en la información registrada en el proyecto.
Se recomienda revisar que los valores presentados correspondan con lo registrado en los demás elementos del plan de negocio, y definidos para la implementación del proyecto. Además que serán los indicadores de cumplimiento en la ejecución de tener asignación de recursos y salir beneficiado en las Convocatorias del Fondo Emprender.
En caso de identificar inconsistencias, se debe revisar la información registrada en los elementos anteriores para realizar los ajustes correspondientes.</t>
  </si>
  <si>
    <t xml:space="preserve">18. MAPA DE ACTORES</t>
  </si>
  <si>
    <t xml:space="preserve">En este espacio debe identificar las personas, organizaciones, instituciones o entidades que pueden tener relación con el desarrollo del proyecto.
Registre los actores que pueden aportar al fortalecimiento de la iniciativa productiva o que se relacionan con la actividad del negocio, como proveedores, clientes, aliados comerciales, entidades públicas, organizaciones del territorio, asociaciones, cooperativas u otras instituciones.
Para cada actor indique el tipo de relación que puede tener con el proyecto y cómo su participación puede contribuir al desarrollo de la iniciativa.
La información registrada debe permitir reconocer las posibles relaciones, apoyos o articulaciones que pueden facilitar la implementación y el crecimiento del proyecto.</t>
  </si>
  <si>
    <t xml:space="preserve">19. ASOCIATIVIDAD</t>
  </si>
  <si>
    <t xml:space="preserve">Este elemento aplica únicamente para proyectos presentados de manera asociativa.
En este espacio se debe describir la forma en que se organiza el grupo para el desarrollo del proyecto, indicando cómo se distribuyen las responsabilidades, la participación de los integrantes y la manera en que se desarrolla el trabajo conjunto dentro de la iniciativa.
Explique cómo la organización del grupo aporta al desarrollo de la actividad productiva, al cumplimiento de las actividades del proyecto y a la generación de empleo.
La información registrada debe permitir comprender cómo funciona el trabajo del grupo dentro del proyecto y cómo se articula la participación de sus integrantes para el desarrollo de la iniciativa.</t>
  </si>
  <si>
    <t xml:space="preserve">HOJA 2 INTEGRANTES DE LA INICIATIVA</t>
  </si>
  <si>
    <t xml:space="preserve">En esta hoja solo se deben diligenciar las celdas identificadas en color gris.
Se debe registrar la información completa de todos los integrantes o asociados que hacen parte de la iniciativa, asegurando que todos los campos requeridos se encuentren diligenciados.
Es importante que la información esté completa para que el sistema pueda identificar correctamente el número total de asociados que conforman el proyecto. En caso de faltar información de alguno de los integrantes, el número de asociados no se reflejará correctamente.</t>
  </si>
  <si>
    <t xml:space="preserve">HOJA 3 MODELO FINANCIERO</t>
  </si>
  <si>
    <t xml:space="preserve">En esta hoja solo se debe diligenciar la celda identificada en color gris, que corresponde a la tasa de descuento.</t>
  </si>
  <si>
    <t xml:space="preserve">HOJA 4 RESUMEN</t>
  </si>
  <si>
    <t xml:space="preserve">Esta hoja no debe ser diligenciada por el emprendedor o grupo asociativo</t>
  </si>
  <si>
    <r>
      <rPr>
        <sz val="16"/>
        <color rgb="FF000000"/>
        <rFont val="Century Gothic"/>
        <family val="2"/>
      </rPr>
      <t xml:space="preserve">Coordinación Nacional de Emprendimiento, Dirección de Empleo y Trabajo </t>
    </r>
    <r>
      <rPr>
        <b val="true"/>
        <sz val="16"/>
        <color rgb="FF000000"/>
        <rFont val="Century Gothic"/>
        <family val="2"/>
      </rPr>
      <t xml:space="preserve">(2026)</t>
    </r>
  </si>
  <si>
    <t xml:space="preserve">ID del proyecto</t>
  </si>
  <si>
    <t xml:space="preserve">Convocatoria a la que postula la iniciativa</t>
  </si>
  <si>
    <t xml:space="preserve">Fecha de diligenciamiento</t>
  </si>
  <si>
    <t xml:space="preserve">INICIATIVA PRODUCTIVA, UNIDAD PRODUCTIVA, UNIDAD ECONÓMICA, MODELO O PLAN DE NEGOCIO A CREAR</t>
  </si>
  <si>
    <t xml:space="preserve">SI</t>
  </si>
  <si>
    <t xml:space="preserve">CC</t>
  </si>
  <si>
    <t xml:space="preserve">Aporte Emprendedor</t>
  </si>
  <si>
    <t xml:space="preserve">NO</t>
  </si>
  <si>
    <t xml:space="preserve">CE</t>
  </si>
  <si>
    <t xml:space="preserve">Fondo Emprender</t>
  </si>
  <si>
    <t xml:space="preserve">NOMBRES Y APELLIDOS DEL LÍDER O REPRESENTANTE DE LA INICIATIVA</t>
  </si>
  <si>
    <t xml:space="preserve">TIPO DE DOCUMENTO</t>
  </si>
  <si>
    <t xml:space="preserve">NÚMERO</t>
  </si>
  <si>
    <t xml:space="preserve">Mariano García Posada</t>
  </si>
  <si>
    <t xml:space="preserve"> </t>
  </si>
  <si>
    <t xml:space="preserve">Femenino</t>
  </si>
  <si>
    <t xml:space="preserve">Adolescentes en Conflicto con la Ley Penal</t>
  </si>
  <si>
    <t xml:space="preserve">Masculino</t>
  </si>
  <si>
    <t xml:space="preserve">Adolescente Trabajador</t>
  </si>
  <si>
    <t xml:space="preserve">NOMBRE DE LA INICIATIVA</t>
  </si>
  <si>
    <t xml:space="preserve">DEPARTAMENTO</t>
  </si>
  <si>
    <t xml:space="preserve">MUNICIPIO</t>
  </si>
  <si>
    <t xml:space="preserve">Otro</t>
  </si>
  <si>
    <t xml:space="preserve">Adolescentes y Jóvenes Vulnerables</t>
  </si>
  <si>
    <t xml:space="preserve">AI4U</t>
  </si>
  <si>
    <t xml:space="preserve">Afrocolombianos</t>
  </si>
  <si>
    <t xml:space="preserve">Gestión y Administración</t>
  </si>
  <si>
    <t xml:space="preserve">Campesino</t>
  </si>
  <si>
    <t xml:space="preserve">Transparencia y Responsabilidad:</t>
  </si>
  <si>
    <t xml:space="preserve">Desplazado por fenómenos naturales</t>
  </si>
  <si>
    <r>
      <rPr>
        <sz val="14"/>
        <color rgb="FF000000"/>
        <rFont val="Century Gothic"/>
        <family val="2"/>
      </rPr>
      <t xml:space="preserve">Si elige la categoría </t>
    </r>
    <r>
      <rPr>
        <b val="true"/>
        <sz val="14"/>
        <color rgb="FF000000"/>
        <rFont val="Century Gothic"/>
        <family val="2"/>
      </rPr>
      <t xml:space="preserve">CAMPESINOS</t>
    </r>
    <r>
      <rPr>
        <sz val="14"/>
        <color rgb="FF000000"/>
        <rFont val="Century Gothic"/>
        <family val="2"/>
      </rPr>
      <t xml:space="preserve"> desplegará </t>
    </r>
    <r>
      <rPr>
        <b val="true"/>
        <sz val="14"/>
        <color rgb="FF000000"/>
        <rFont val="Century Gothic"/>
        <family val="2"/>
      </rPr>
      <t xml:space="preserve">únicamente los sectores y </t>
    </r>
    <r>
      <rPr>
        <sz val="14"/>
        <color rgb="FF000000"/>
        <rFont val="Century Gothic"/>
        <family val="2"/>
      </rPr>
      <t xml:space="preserve">las actividades permitidas para la Economía Campesina de acuerdo a los indicado en los términos de referencia de cada convocatoria
Si elige la categoría </t>
    </r>
    <r>
      <rPr>
        <b val="true"/>
        <sz val="14"/>
        <color rgb="FF000000"/>
        <rFont val="Century Gothic"/>
        <family val="2"/>
      </rPr>
      <t xml:space="preserve">TODOS LOS SECTORES</t>
    </r>
    <r>
      <rPr>
        <sz val="14"/>
        <color rgb="FF000000"/>
        <rFont val="Century Gothic"/>
        <family val="2"/>
      </rPr>
      <t xml:space="preserve"> desplegará </t>
    </r>
    <r>
      <rPr>
        <b val="true"/>
        <sz val="14"/>
        <color rgb="FF000000"/>
        <rFont val="Century Gothic"/>
        <family val="2"/>
      </rPr>
      <t xml:space="preserve">todos los sectores y actividades </t>
    </r>
    <r>
      <rPr>
        <sz val="14"/>
        <color rgb="FF000000"/>
        <rFont val="Century Gothic"/>
        <family val="2"/>
      </rPr>
      <t xml:space="preserve">económicas vigentes, las cuales también aplican para </t>
    </r>
    <r>
      <rPr>
        <b val="true"/>
        <sz val="14"/>
        <color rgb="FF000000"/>
        <rFont val="Century Gothic"/>
        <family val="2"/>
      </rPr>
      <t xml:space="preserve">Economía Popular.
</t>
    </r>
    <r>
      <rPr>
        <sz val="14"/>
        <color rgb="FF000000"/>
        <rFont val="Century Gothic"/>
        <family val="2"/>
      </rPr>
      <t xml:space="preserve">La elección de la categoría dependerá del autorreconocimiento o caracterización del representante o grupo asociativo y de la focalización que disponga la Convocatoria a la que desee postularse.</t>
    </r>
  </si>
  <si>
    <t xml:space="preserve">CATEGORÍA DEL SECTOR ECONÓMICO DE LA INICIATIVA</t>
  </si>
  <si>
    <t xml:space="preserve">SECTOR (Previamente seleccione la categoría)</t>
  </si>
  <si>
    <t xml:space="preserve">ACTIVIDAD ECONÓMICA (Previamente seleccione el sector)</t>
  </si>
  <si>
    <t xml:space="preserve">Tipo de proyecto</t>
  </si>
  <si>
    <t xml:space="preserve">Individual</t>
  </si>
  <si>
    <t xml:space="preserve">Registrar en la hoja "Integrantes iniciativa" el total de integrantes, los cuales se verán reflejados acá una vez se hayan diligenciado</t>
  </si>
  <si>
    <t xml:space="preserve">Palenqueros</t>
  </si>
  <si>
    <t xml:space="preserve">Contrato Laboral a término fijo</t>
  </si>
  <si>
    <t xml:space="preserve">Participanes del programa de reintegración - Reintegrados (ARN)</t>
  </si>
  <si>
    <t xml:space="preserve">¿Cuenta con un lugar de operaciones?</t>
  </si>
  <si>
    <t xml:space="preserve">Contrato Laboral a término indefinido</t>
  </si>
  <si>
    <t xml:space="preserve">Personas en Proceso de Reincorporación</t>
  </si>
  <si>
    <t xml:space="preserve">Prestación de servicios</t>
  </si>
  <si>
    <t xml:space="preserve">Población LGBTI</t>
  </si>
  <si>
    <r>
      <rPr>
        <sz val="16"/>
        <color rgb="FF000000"/>
        <rFont val="Century Gothic"/>
        <family val="2"/>
      </rPr>
      <t xml:space="preserve">Para desarrollar su iniciativa productiva, unidad productiva, unidad económica, modelo o plan de negocio debe contar con un lugar de operaciones. </t>
    </r>
    <r>
      <rPr>
        <b val="true"/>
        <sz val="16"/>
        <color rgb="FF000000"/>
        <rFont val="Century Gothic"/>
        <family val="2"/>
      </rPr>
      <t xml:space="preserve">Si llega a ser beneficiario de los recursos del Fondo Emprender, en el momento de la firma del Acta de inicio, se debe evidenciar la gestión del sitio de operaciones;</t>
    </r>
    <r>
      <rPr>
        <sz val="16"/>
        <color rgb="FF000000"/>
        <rFont val="Century Gothic"/>
        <family val="2"/>
      </rPr>
      <t xml:space="preserve"> para este caso, se solicita que, se presente uso de suelos donde se tiene planeado realizar la actividad económica y el certificado de tradición donde se demuestre la sana posesión del inmueble o certificación de la sana posesión(Alcaldía). Si el predio está en sucesión se recomienda haber iniciado el proceso o iniciarlo y que se cuente con la autorización de todos los involucrados.
</t>
    </r>
    <r>
      <rPr>
        <b val="true"/>
        <u val="single"/>
        <sz val="16"/>
        <color rgb="FF000000"/>
        <rFont val="Century Gothic"/>
        <family val="2"/>
      </rPr>
      <t xml:space="preserve">El plazo máximo será no mayor a un mes de la suscripción del acta de inicio del contrato de cooperación empresarial para estos documentos</t>
    </r>
    <r>
      <rPr>
        <sz val="16"/>
        <color rgb="FF000000"/>
        <rFont val="Century Gothic"/>
        <family val="2"/>
      </rPr>
      <t xml:space="preserve">. En caso de superar este plazo, el contrato de cooperación empresarial se terminará unilateralmente, por lo que es fundamental prever el lugar de operaciones de su  iniciativa productiva, unidad productiva, unidad económica, modelo o plan de negocio desde este momento, la formulación.</t>
    </r>
  </si>
  <si>
    <t xml:space="preserve">Contrato por obra o Labor</t>
  </si>
  <si>
    <t xml:space="preserve">Población con discapacidad</t>
  </si>
  <si>
    <t xml:space="preserve"> Al tomar la decisión de desarrollar una iniciativa productiva, unidad productiva, unidad económica, modelo o plan de negocio es importante tener clara la información de ¿Qué queremos hacer? ¿Cómo lo vamos a hacer? ¿Que vamos a vender? ¿Quien nos va a comprar? entre otros. Con el acompañamiento del SENA, vamos a orientarlo para que construya su iniciativa productiva.</t>
  </si>
  <si>
    <t xml:space="preserve">Jornal</t>
  </si>
  <si>
    <t xml:space="preserve">Población indígena</t>
  </si>
  <si>
    <t xml:space="preserve">Población víctima de minas antipersona</t>
  </si>
  <si>
    <t xml:space="preserve">Pueblo ROM</t>
  </si>
  <si>
    <t xml:space="preserve">Raizales</t>
  </si>
  <si>
    <t xml:space="preserve">Remitidos por programa de adaptación laboral - PAL</t>
  </si>
  <si>
    <t xml:space="preserve">Soldados campesinos</t>
  </si>
  <si>
    <t xml:space="preserve">Tercera edad</t>
  </si>
  <si>
    <t xml:space="preserve">Veteranos</t>
  </si>
  <si>
    <t xml:space="preserve">Víctima de otros hechos victimizantes</t>
  </si>
  <si>
    <t xml:space="preserve">Víctima de violencia</t>
  </si>
  <si>
    <t xml:space="preserve">Víctimas Sobrevivientes con Agentes Químicos</t>
  </si>
  <si>
    <t xml:space="preserve">INSTRUCCIONES GENERALES:</t>
  </si>
  <si>
    <r>
      <rPr>
        <sz val="18"/>
        <color rgb="FF000000"/>
        <rFont val="Century Gothic"/>
        <family val="2"/>
      </rPr>
      <t xml:space="preserve">Para el diligenciamiento de esta herramienta, se debe tener el acompañamiento del Centro de Desarrollo Empresarial del SENA más cercano, donde el equipo de profesionales organizarán su participación en una serie de talleres que les  guiarán en la construcción del proyecto y el diligenciamiento de esta herramienta. </t>
    </r>
    <r>
      <rPr>
        <b val="true"/>
        <u val="single"/>
        <sz val="18"/>
        <color rgb="FF000000"/>
        <rFont val="Century Gothic"/>
        <family val="2"/>
      </rPr>
      <t xml:space="preserve">Diligenciar solamente las celdas sombreadas en gris. Se solicita mantener la estructura original de la herramienta, sin realizar cambios en las columnas, pestañas, fórmulas, formatos de celdas o cualquier otro elemento que afecte su integridad.</t>
    </r>
    <r>
      <rPr>
        <sz val="18"/>
        <color rgb="FF000000"/>
        <rFont val="Century Gothic"/>
        <family val="2"/>
      </rPr>
      <t xml:space="preserve"> </t>
    </r>
  </si>
  <si>
    <t xml:space="preserve">En este espacio debe identificar claramente a su cliente, es decir, la persona o grupo que le va a comprar los productos o servicios. Escríbalo con el mayor detalle posible: quién es, cómo vive, qué edad tiene, qué gustos o necesidades tiene y por qué le compraría. La idea es que lo describa como si estuviera hablando de un hijo o de un familiar muy cercano, conociendo sus costumbres, lo que le gusta y lo que necesita.</t>
  </si>
  <si>
    <r>
      <rPr>
        <b val="true"/>
        <sz val="12"/>
        <color rgb="FF000000"/>
        <rFont val="Century Gothic"/>
        <family val="2"/>
      </rPr>
      <t xml:space="preserve">CARACTERÍSTICAS DEL CLIENTE O CONSUMIDOR
</t>
    </r>
    <r>
      <rPr>
        <sz val="12"/>
        <color rgb="FF000000"/>
        <rFont val="Century Gothic"/>
        <family val="2"/>
      </rPr>
      <t xml:space="preserve">En este espacio describa las características del cliente o consumidor que comprará su producto o servicio. Indique dónde vive (región, sector (sector urbano, rural), vereda, municipio o ciudad), su estrato socieconómico, rango de edad y género. Explique su capacidad de compra o nivel de ingresos, es decir, si tiene los ingresos suficientes y la frecuencia para poder pagar por el producto o servicio. Señale si trabaja y en qué, su estado civil, la estructura familar, si tiene hijos y si vive en casa propia o en arriendo. También describa sus hábitos de consumo, como cada cuánto compra, qué cantidad consume y qué prefiere al momento de elegir. Incluya cifras o estadísticas que ayuden a mostrar mejor este perfil. Indique el tamaño del mercado desde lo general a lo particular con los criterios que se consideraron para su determinación.</t>
    </r>
  </si>
  <si>
    <r>
      <rPr>
        <b val="true"/>
        <sz val="12"/>
        <color rgb="FF000000"/>
        <rFont val="Century Gothic"/>
        <family val="2"/>
      </rPr>
      <t xml:space="preserve">CUALIDADES DEL CLIENTE O CONSUMIDOR
</t>
    </r>
    <r>
      <rPr>
        <sz val="12"/>
        <color rgb="FF000000"/>
        <rFont val="Century Gothic"/>
        <family val="2"/>
      </rPr>
      <t xml:space="preserve">En este espacio debe describir con detalle cómo es su cliente en cuanto a gustos y preferencias. Mencione qué cosas le gustan, qué le da miedo, qué lo hace feliz y cuáles es su estilo de vida, actividades que realiza, intereses, opiniones, personalidad, ventajas deseadas del producto, usos que da al producto, ocasiones en que lo compra, frecuencia de compra, cantidad de compra, medios de pago (efectivo, transferencia, crédito), valores y creencias. También puede contar qué le gusta comer, si disfruta viajar u otras actividades que hagan parte de su vida. La idea es conocer al cliente como a un familiar cercano, entendiendo sus costumbres, motivaciones y forma de vivir, para saber mejor cómo ofrecerle el producto o servicio.</t>
    </r>
  </si>
  <si>
    <t xml:space="preserve">CLIENTE</t>
  </si>
  <si>
    <t xml:space="preserve">Pequeñas y medianas empresas (PYMEs) con 5 a 100 empleados en manufactura, comercio, moda, gastronomía y servicios. Principalmente en Antioquia (Rionegro, Medellín y área metropolitana). Empresas con procesos operativos manuales que les consumen tiempo y les impiden crecer.</t>
  </si>
  <si>
    <t xml:space="preserve">Empresarios entre 30 y 55 años con visión de crecimiento, que toman decisiones de compra basadas en ROI claro y rapidez. No cuentan con especialistas en tecnología internos. Buscan soluciones accesibles con soporte local y en español.</t>
  </si>
  <si>
    <t xml:space="preserve">CONSUMIDOR</t>
  </si>
  <si>
    <t xml:space="preserve">El mismo gerente o dueño de la PYME, y los empleados operativos que ejecutan tareas manuales repetitivas: digitación de datos, atención a clientes por WhatsApp, generación de informes y creación de contenido para redes sociales.</t>
  </si>
  <si>
    <t xml:space="preserve">Las PYMEs colombianas destinan entre el 40% y el 60% de su tiempo operativo a tareas manuales repetitivas: ingreso de datos, gestión de pedidos, atención al cliente, creación de contenido y generación de informes. Esta ineficiencia les impide dedicar tiempo a actividades estratégicas de alto valor como innovación, expansión y servicio diferenciado. A diferencia de las grandes empresas, las PYMEs no tienen presupuesto para contratar equipos de tecnología propios ni acceso a soluciones de IA a precio asequible con soporte local. La brecha digital entre grandes corporaciones y PYMEs se amplía cada año, amenazando la competitividad del tejido empresarial colombiano.</t>
  </si>
  <si>
    <t xml:space="preserve">Siempre hay competencia, hay que reconocerlo y son esos que hacen lo mismo que queremos hacer, o los que con su producto o servicio reemplazan lo que queremos hacer, describa tres (3) competidores y en qué se diferencia de ellos.</t>
  </si>
  <si>
    <t xml:space="preserve">Nombre del competidor</t>
  </si>
  <si>
    <t xml:space="preserve">Localización geográfica
(Departamento, Municipio)</t>
  </si>
  <si>
    <t xml:space="preserve">Producto o Servicio</t>
  </si>
  <si>
    <t xml:space="preserve">Precio
(Solo colocar valor $)</t>
  </si>
  <si>
    <t xml:space="preserve">Ventajas del competidor comparado con la iniciativa que se postula</t>
  </si>
  <si>
    <t xml:space="preserve">Desventajas del competidor comparado con la iniciativa que se postula</t>
  </si>
  <si>
    <t xml:space="preserve">Agencias de marketing digital (locales)</t>
  </si>
  <si>
    <t xml:space="preserve">Antioquia, Medellín</t>
  </si>
  <si>
    <t xml:space="preserve">Gestión de redes sociales y pauta digital</t>
  </si>
  <si>
    <t xml:space="preserve">Presencia de marca y reconocimiento local consolidado</t>
  </si>
  <si>
    <t xml:space="preserve">No ofrecen automatización real ni IA. Solo crean contenido, no optimizan procesos internos del negocio.</t>
  </si>
  <si>
    <t xml:space="preserve">Freelancers internacionales (Upwork, Workana)</t>
  </si>
  <si>
    <t xml:space="preserve">Nacional / Internacional (remoto)</t>
  </si>
  <si>
    <t xml:space="preserve">Automatizaciones puntuales con Make.com o Zapier</t>
  </si>
  <si>
    <t xml:space="preserve">Precios bajos y disponibilidad inmediata en plataformas digitales</t>
  </si>
  <si>
    <t xml:space="preserve">Sin soporte presencial. Sin conocimiento del mercado colombiano. Alta rotación, sin continuidad ni garantía posventa.</t>
  </si>
  <si>
    <t xml:space="preserve">Consultoras TI (Pragma, Globant, Perficient)</t>
  </si>
  <si>
    <t xml:space="preserve">Bogotá / Medellín - Nacional</t>
  </si>
  <si>
    <t xml:space="preserve">Desarrollo de software y transformación digital corporativa</t>
  </si>
  <si>
    <t xml:space="preserve">Equipo amplio, respaldo de marca, proyectos complejos de gran escala</t>
  </si>
  <si>
    <t xml:space="preserve">Precios y tiempos fuera del alcance de PYMEs. Proyectos de 3-12 meses mínimo. No accesibles para negocios pequeños.</t>
  </si>
  <si>
    <r>
      <rPr>
        <b val="true"/>
        <sz val="16"/>
        <color rgb="FF000000"/>
        <rFont val="Century Gothic"/>
        <family val="2"/>
      </rPr>
      <t xml:space="preserve">Conclusión:</t>
    </r>
    <r>
      <rPr>
        <sz val="16"/>
        <color rgb="FF000000"/>
        <rFont val="Century Gothic"/>
        <family val="2"/>
      </rPr>
      <t xml:space="preserve"> Según lo analizado, ¿Cuál considera que son esas ventajas competitivas que tiene la inciativa a postularse frente a la competencia?</t>
    </r>
  </si>
  <si>
    <t xml:space="preserve">AI4U tiene ventaja competitiva clara en cuatro frentes: (1) VELOCIDAD: implementación en 3 a 14 días vs. meses de las consultoras. (2) PRECIO PYME: soluciones desde $2.5M accesibles para negocios colombianos. (3) SOPORTE LOCAL: acompañamiento presencial en Rionegro y Medellín, en español, con conocimiento del mercado antioqueño. (4) FILOSOFÍA HUMANÍSTICA: "no reemplazamos, potenciamos" — la IA trabaja junto al equipo, aumentando capacidades sin generar desempleo. Casos validados: Universidad EAFIT (formación docentes rurales en IA) y empresa TRUE moda (6 horas diarias liberadas en creación de contenido).</t>
  </si>
  <si>
    <t xml:space="preserve">El proyecto consiste en:</t>
  </si>
  <si>
    <t xml:space="preserve">AI4U diseña e implementa sistemas de Inteligencia Artificial personalizados para PYMEs colombianas, enfocados en automatizar procesos clave como ventas, atención al cliente, marketing y operaciones internas.  A través de agentes inteligentes, chatbots, integraciones entre plataformas y automatización de flujos de trabajo, la empresa transforma tareas manuales, repetitivas y propensas a error en sistemas digitales que operan 24/7, permitiendo a las empresas ser más eficientes, rápidas y competitivas.  Las soluciones se implementan en un tiempo estimado de 3 a 14 días, incluyendo diagnóstico, desarrollo, pruebas, capacitación al cliente y acompañamiento continuo para garantizar resultados sostenibles.</t>
  </si>
  <si>
    <t xml:space="preserve">AI4U no comercializa herramientas tecnológicas aisladas, sino que desarrolla sistemas completos adaptados a cada negocio, integrando tecnologías de vanguardia como OpenAI y Claude. Su enfoque combina velocidad de implementación, personalización y cercanía con el cliente, asegurando que cada solución tenga impacto real en la operación y en los resultados financieros.</t>
  </si>
  <si>
    <t xml:space="preserve">Ahora, de acuerdo con la sesión de entrenamiento, describa la propuesta de valor: </t>
  </si>
  <si>
    <t xml:space="preserve">Nuestro:</t>
  </si>
  <si>
    <t xml:space="preserve">AI4U — servicio especializado en implementación de sistemas de Inteligencia Artificial y automatización personalizados para empresas colombianas</t>
  </si>
  <si>
    <t xml:space="preserve">Ayuda:</t>
  </si>
  <si>
    <t xml:space="preserve">a PYMEs y empresas en crecimiento de AnPYMEs y empresas en crecimiento en Antioquia y Colombia que presentan alta carga operativa manual, procesos ineficientes y limitaciones para escalar sus operacionestioquia y Colombia con procesos operativos manuales y repetitivos</t>
  </si>
  <si>
    <t xml:space="preserve">Que:</t>
  </si>
  <si>
    <t xml:space="preserve">logran reducir hasta un 70% el tiempo dedicado a tareas operativas, aumentar su capacidad productiva sin incrementar costos de personal, mejorar la velocidad de respuesta al cliente y tomar decisiones estratégicas basadas en datos en tiempo real</t>
  </si>
  <si>
    <t xml:space="preserve">Mediante:</t>
  </si>
  <si>
    <t xml:space="preserve">el diseño e implementación de arquitecturas de IA personalizadas, construidas con tecnologías accesibles y robustas, implementadas en un periodo de 3 a 14 días, acompañadas de capacitación, soporte técnico continuo y mejora progresiva basada en datos</t>
  </si>
  <si>
    <t xml:space="preserve">Relacione y describa los productos o servicios a ofrecer al cliente. Descríbalos, indique cual es la unidad de medida (Libras, Kilos...), presentación. Agrúpelos en únicamente tres (3) productos o servicios.</t>
  </si>
  <si>
    <t xml:space="preserve">Nombre del producto o servicio</t>
  </si>
  <si>
    <t xml:space="preserve">Descripción</t>
  </si>
  <si>
    <t xml:space="preserve">Unidad de medida </t>
  </si>
  <si>
    <t xml:space="preserve">Unidad de presentación al cliente</t>
  </si>
  <si>
    <t xml:space="preserve">Automatización Inteligente         </t>
  </si>
  <si>
    <t xml:space="preserve">Diseño e implementación de sistemas de automatización basados en inteligencia artificial que optimizan procesos empresariales como ventas, marketing, atención al cliente y operaciones. Incluye integración de herramientas digitales, desarrollo de agentes inteligentes y monitoreo continuo para garantizar eficiencia, reducción de costos y escalabilidad del negocio.</t>
  </si>
  <si>
    <t xml:space="preserve">Proyecto / Mensualidad</t>
  </si>
  <si>
    <t xml:space="preserve">Servicio digital entregado mediante implementación remota, acceso a sistemas automatizados, dashboards de control y soporte continuo.</t>
  </si>
  <si>
    <t xml:space="preserve">Explique de forma clara cómo se hace su producto o se presta el servicio, paso a paso desde el inicio hasta la entrega al cliente (por ejemplo: preparar el terreno o el lugar, comprar insumos, producir/sembrar, cuidar y controlar plagas, cosechar o elaborar, seleccionar, empacar, almacenar y transportar; en servicios: recibir al cliente, hacer la atención, revisar calidad y cobrar). Escriba cada actividad tal como ocurre, diciendo quién la hace, con qué herramienta o equipo y cuánto tiempo tarda; si aplica, mencione en qué épocas del año se realiza (temporadas). No olvide contar lo que lo hace diferente, como usar insumos amigables con el ambiente (fungicidas o controladores biológicos), buenas prácticas (ahorro de agua y energía, manejo de residuos), empaques retornables o recetas/procesos propios. Si corresponde, incluya medidas de higiene y seguridad que aplica en el proceso.</t>
  </si>
  <si>
    <t xml:space="preserve">En el siguiente cuadro colocar la información  solicitada en las casillas en gris, del producto o servicio 1 descrito anteriormente</t>
  </si>
  <si>
    <t xml:space="preserve">Actividad a realizar
(No solo coloque la actividad, descríbala)</t>
  </si>
  <si>
    <t xml:space="preserve">Tiempo para realizarla (Días, horas, minutos)</t>
  </si>
  <si>
    <t xml:space="preserve">Equipo o Maquinaria requerida</t>
  </si>
  <si>
    <t xml:space="preserve">Quién realiza la actividad (Ej: Administrador, operario, veterinario, agrónomo)</t>
  </si>
  <si>
    <t xml:space="preserve">"1. Diagnóstico inicial del cliente Reunión para identificar procesos actuales, cuellos de botella y oportunidades de automatización. Se levanta información clave del negocio."             </t>
  </si>
  <si>
    <t xml:space="preserve">1 dia</t>
  </si>
  <si>
    <t xml:space="preserve">Computador, videollamada (Zoom/Meet), formularios digitales </t>
  </si>
  <si>
    <t xml:space="preserve">Consultor IA / Administrador</t>
  </si>
  <si>
    <t xml:space="preserve">2. Diseño de solución personalizada </t>
  </si>
  <si>
    <t xml:space="preserve">2 dias</t>
  </si>
  <si>
    <t xml:space="preserve">Computador, software de diagramación, plataformas IA</t>
  </si>
  <si>
    <t xml:space="preserve">3. Configuración e integración de herramientas </t>
  </si>
  <si>
    <t xml:space="preserve">5 dias</t>
  </si>
  <si>
    <t xml:space="preserve">Computador, Make, APIs, servidores cloud</t>
  </si>
  <si>
    <t xml:space="preserve">4. Pruebas y validación del sistema</t>
  </si>
  <si>
    <t xml:space="preserve">Computador, entornos de prueba</t>
  </si>
  <si>
    <t xml:space="preserve">5. Implementación y entrega al cliente </t>
  </si>
  <si>
    <t xml:space="preserve">Computador, plataformas digitales, dashboards</t>
  </si>
  <si>
    <t xml:space="preserve">6. Monitoreo y optimización continua </t>
  </si>
  <si>
    <t xml:space="preserve">permanente mensual</t>
  </si>
  <si>
    <t xml:space="preserve">Computador, herramientas de monitoreo, analytics</t>
  </si>
  <si>
    <r>
      <rPr>
        <b val="true"/>
        <sz val="16"/>
        <color rgb="FF000000"/>
        <rFont val="Century Gothic"/>
        <family val="2"/>
      </rPr>
      <t xml:space="preserve">CAPACIDAD INSTALADA PRODUCTO O SERVICIO 1: 
</t>
    </r>
    <r>
      <rPr>
        <sz val="16"/>
        <color rgb="FF000000"/>
        <rFont val="Century Gothic"/>
        <family val="2"/>
      </rPr>
      <t xml:space="preserve">Es el cálculo de la cantidad máxima que se puede producir o atender del </t>
    </r>
    <r>
      <rPr>
        <b val="true"/>
        <sz val="16"/>
        <color rgb="FF000000"/>
        <rFont val="Century Gothic"/>
        <family val="2"/>
      </rPr>
      <t xml:space="preserve">producto o servicio 1, </t>
    </r>
    <r>
      <rPr>
        <sz val="16"/>
        <color rgb="FF000000"/>
        <rFont val="Century Gothic"/>
        <family val="2"/>
      </rPr>
      <t xml:space="preserve">con lo que tiene disponible, teniendo en cuenta sus herramientas, el tiempo de trabajo y el apoyo de las personas que participan en la actividad. No se calcula por persona, sino por</t>
    </r>
    <r>
      <rPr>
        <b val="true"/>
        <sz val="16"/>
        <color rgb="FF000000"/>
        <rFont val="Century Gothic"/>
        <family val="2"/>
      </rPr>
      <t xml:space="preserve"> todo lo que el negocio puede producir o atender en conjunto.</t>
    </r>
  </si>
  <si>
    <t xml:space="preserve">Producción o servicios por hora (Número)</t>
  </si>
  <si>
    <t xml:space="preserve">Horas de trabajo día</t>
  </si>
  <si>
    <t xml:space="preserve">Días de trabajo en el mes</t>
  </si>
  <si>
    <t xml:space="preserve">Total unidades al mes</t>
  </si>
  <si>
    <t xml:space="preserve">En el siguiente cuadro colocar la información del producto o servicio 2 descrito anteriormente</t>
  </si>
  <si>
    <r>
      <rPr>
        <b val="true"/>
        <sz val="16"/>
        <color rgb="FF000000"/>
        <rFont val="Century Gothic"/>
        <family val="2"/>
      </rPr>
      <t xml:space="preserve">CAPACIDAD INSTALADA PRODUCTO O SERVICIO 2: 
</t>
    </r>
    <r>
      <rPr>
        <sz val="16"/>
        <color rgb="FF000000"/>
        <rFont val="Century Gothic"/>
        <family val="2"/>
      </rPr>
      <t xml:space="preserve">Es el cálculo de la cantidad máxima que usted puede producir o atender del </t>
    </r>
    <r>
      <rPr>
        <b val="true"/>
        <sz val="16"/>
        <color rgb="FF000000"/>
        <rFont val="Century Gothic"/>
        <family val="2"/>
      </rPr>
      <t xml:space="preserve">producto o servicio 2</t>
    </r>
    <r>
      <rPr>
        <sz val="16"/>
        <color rgb="FF000000"/>
        <rFont val="Century Gothic"/>
        <family val="2"/>
      </rPr>
      <t xml:space="preserve"> con lo que tiene disponible, teniendo en cuenta sus herramientas, el tiempo de trabajo y el apoyo de las personas que participan en la actividad. No se calcula por persona, sino por</t>
    </r>
    <r>
      <rPr>
        <b val="true"/>
        <sz val="16"/>
        <color rgb="FF000000"/>
        <rFont val="Century Gothic"/>
        <family val="2"/>
      </rPr>
      <t xml:space="preserve"> todo lo que el negocio puede producir o atender en conjunto.</t>
    </r>
  </si>
  <si>
    <t xml:space="preserve">En el siguiente cuadro colocar la información del producto o servicio 3 descrito anteriormente</t>
  </si>
  <si>
    <r>
      <rPr>
        <b val="true"/>
        <sz val="16"/>
        <color rgb="FF000000"/>
        <rFont val="Century Gothic"/>
        <family val="2"/>
      </rPr>
      <t xml:space="preserve">CAPACIDAD INSTALADA PRODUCTO O SERVICIO 3: 
</t>
    </r>
    <r>
      <rPr>
        <sz val="16"/>
        <color rgb="FF000000"/>
        <rFont val="Century Gothic"/>
        <family val="2"/>
      </rPr>
      <t xml:space="preserve">Es el cálculo de la cantidad máxima que usted puede producir o atender del </t>
    </r>
    <r>
      <rPr>
        <b val="true"/>
        <sz val="16"/>
        <color rgb="FF000000"/>
        <rFont val="Century Gothic"/>
        <family val="2"/>
      </rPr>
      <t xml:space="preserve">producto o servicio 3</t>
    </r>
    <r>
      <rPr>
        <sz val="16"/>
        <color rgb="FF000000"/>
        <rFont val="Century Gothic"/>
        <family val="2"/>
      </rPr>
      <t xml:space="preserve"> con lo que tiene disponible, teniendo en cuenta sus herramientas, el tiempo de trabajo y el apoyo de las personas que participan en la actividad. No se calcula por persona, sino por</t>
    </r>
    <r>
      <rPr>
        <b val="true"/>
        <sz val="16"/>
        <color rgb="FF000000"/>
        <rFont val="Century Gothic"/>
        <family val="2"/>
      </rPr>
      <t xml:space="preserve"> todo lo que el negocio puede producir o atender en conjunto.</t>
    </r>
  </si>
  <si>
    <r>
      <rPr>
        <sz val="18"/>
        <color rgb="FF000000"/>
        <rFont val="Century Gothic"/>
        <family val="2"/>
      </rPr>
      <t xml:space="preserve">¿Cuál es el tipo de registro formal que tendrá la iniciativa? </t>
    </r>
    <r>
      <rPr>
        <b val="true"/>
        <sz val="18"/>
        <color rgb="FF000000"/>
        <rFont val="Century Gothic"/>
        <family val="2"/>
      </rPr>
      <t xml:space="preserve">Es importante analizar de acuerdo con la actividad económica a realizar y lo planteado en la iniciativa, cuál es la mejor forma de registro formal si la iniciativa llega a ser beneficiaria de los recursos del Fondo Emprender</t>
    </r>
    <r>
      <rPr>
        <sz val="18"/>
        <color rgb="FF000000"/>
        <rFont val="Century Gothic"/>
        <family val="2"/>
      </rPr>
      <t xml:space="preserve"> </t>
    </r>
  </si>
  <si>
    <t xml:space="preserve">Solo debe marcar una opción</t>
  </si>
  <si>
    <t xml:space="preserve">Marque con X</t>
  </si>
  <si>
    <t xml:space="preserve">Persona Natural</t>
  </si>
  <si>
    <t xml:space="preserve">Persona Natural con Establecimiento de Comercio</t>
  </si>
  <si>
    <t xml:space="preserve">Asociación</t>
  </si>
  <si>
    <t xml:space="preserve">Asociación Campesina</t>
  </si>
  <si>
    <t xml:space="preserve">Cooperativa</t>
  </si>
  <si>
    <t xml:space="preserve">Sociedad de Acciones Simplificada S.A.S (solo 1 socio)</t>
  </si>
  <si>
    <t xml:space="preserve">x</t>
  </si>
  <si>
    <t xml:space="preserve">¿Cuál?</t>
  </si>
  <si>
    <r>
      <rPr>
        <sz val="18"/>
        <color rgb="FF000000"/>
        <rFont val="Century Gothic"/>
        <family val="2"/>
      </rPr>
      <t xml:space="preserve">¿Cuáles son las normas, permisos, registros, licencias, notificaciones, requeridos para funcionar? </t>
    </r>
    <r>
      <rPr>
        <b val="true"/>
        <sz val="18"/>
        <color rgb="FF000000"/>
        <rFont val="Century Gothic"/>
        <family val="2"/>
      </rPr>
      <t xml:space="preserve">Descríbalas detalladamente</t>
    </r>
    <r>
      <rPr>
        <sz val="18"/>
        <color rgb="FF000000"/>
        <rFont val="Century Gothic"/>
        <family val="2"/>
      </rPr>
      <t xml:space="preserve">. Es fundamental todo el proceso de investigación y conocimiento que se tenga de los requerimientos legales, normativos, permisos, licencias y demás que se requieran para poner en ejecución su iniciativa.</t>
    </r>
  </si>
  <si>
    <t xml:space="preserve">Norma, Permiso, Licencia, Registro a cumplir</t>
  </si>
  <si>
    <t xml:space="preserve">Descripción detallada del trámite a realizar</t>
  </si>
  <si>
    <t xml:space="preserve">Costo ($)</t>
  </si>
  <si>
    <t xml:space="preserve">Tiempo requerido
(Días)</t>
  </si>
  <si>
    <r>
      <rPr>
        <sz val="16"/>
        <color rgb="FF000000"/>
        <rFont val="Century Gothic"/>
        <family val="2"/>
      </rPr>
      <t xml:space="preserve"> Constitución Legal (Para Línea CREAR) </t>
    </r>
    <r>
      <rPr>
        <b val="true"/>
        <u val="single"/>
        <sz val="12"/>
        <color rgb="FF000000"/>
        <rFont val="Century Gothic"/>
        <family val="2"/>
      </rPr>
      <t xml:space="preserve">RECUERDE QUE ESTE VALOR ES UN RUBRO NO FINANCIABLE Y DEBE SER ASUMIDO POR EL EMPRENDEDOR O GRUPO ASOCIATIVO.</t>
    </r>
  </si>
  <si>
    <t xml:space="preserve">"Registro Único Tributario (RUT – DIAN) "         </t>
  </si>
  <si>
    <t xml:space="preserve">Inscripción ante la autoridad tributaria para habilitar la facturación, definir responsabilidades fiscales (IVA, renta) y actividad económica.</t>
  </si>
  <si>
    <t xml:space="preserve">"Facturación Electrónica (DIAN) "         </t>
  </si>
  <si>
    <t xml:space="preserve">Habilitación como facturador electrónico, ya sea con proveedor autorizado o software propio, para emitir facturas legales.              </t>
  </si>
  <si>
    <t xml:space="preserve">Contratos de prestación de servicios y términos legales </t>
  </si>
  <si>
    <t xml:space="preserve">Elaboración de contratos con clientes que definan alcance, responsabilidades, tratamiento de datos, propiedad intelectual y condiciones de servicio.</t>
  </si>
  <si>
    <t xml:space="preserve">TOTAL</t>
  </si>
  <si>
    <t xml:space="preserve">¿De que forma espera que los clientes sepan de sus productos o servicios? Indique los canales para comunicar su producto a la comunidad.</t>
  </si>
  <si>
    <r>
      <rPr>
        <sz val="18"/>
        <color rgb="FF000000"/>
        <rFont val="Century Gothic"/>
        <family val="2"/>
      </rPr>
      <t xml:space="preserve">Estrategia de comunicación
Indique la acción a realizar (Ejemplo: Página Web, Tarjetas, Pendones, entre otros)
</t>
    </r>
    <r>
      <rPr>
        <b val="true"/>
        <sz val="18"/>
        <color rgb="FF000000"/>
        <rFont val="Century Gothic"/>
        <family val="2"/>
      </rPr>
      <t xml:space="preserve">(Para que la acción quede contabilizada en el indicador Eventos de mercadeo debe diligenciar la actividad a realizar)</t>
    </r>
  </si>
  <si>
    <r>
      <rPr>
        <b val="true"/>
        <sz val="14"/>
        <color rgb="FF000000"/>
        <rFont val="Century Gothic"/>
        <family val="2"/>
      </rPr>
      <t xml:space="preserve">Cuánto vale para el primer año (Valor en $)
</t>
    </r>
    <r>
      <rPr>
        <sz val="12"/>
        <color rgb="FF000000"/>
        <rFont val="Century Gothic"/>
        <family val="2"/>
      </rPr>
      <t xml:space="preserve">(Si diligenció alguna acción a realizar, debe asignarle valor aquí, si el costo de la acción es $0, </t>
    </r>
    <r>
      <rPr>
        <b val="true"/>
        <u val="single"/>
        <sz val="14"/>
        <color rgb="FF000000"/>
        <rFont val="Century Gothic"/>
        <family val="2"/>
      </rPr>
      <t xml:space="preserve">colocar $0</t>
    </r>
  </si>
  <si>
    <t xml:space="preserve">Marque con X únicamente las actividades que realizará para dar a conocer su proyecto</t>
  </si>
  <si>
    <t xml:space="preserve">Estrategia de promoción</t>
  </si>
  <si>
    <t xml:space="preserve">Marque X</t>
  </si>
  <si>
    <r>
      <rPr>
        <sz val="18"/>
        <color rgb="FF000000"/>
        <rFont val="Century Gothic"/>
        <family val="2"/>
      </rPr>
      <t xml:space="preserve">Describa la actividad a realizar </t>
    </r>
    <r>
      <rPr>
        <b val="true"/>
        <sz val="18"/>
        <color rgb="FF000000"/>
        <rFont val="Century Gothic"/>
        <family val="2"/>
      </rPr>
      <t xml:space="preserve">(Para que la acción quede contabilizada en el indicador Eventos de mercadeo debe diligenciar la actividad a realizar)</t>
    </r>
  </si>
  <si>
    <t xml:space="preserve">Entrega puerta a puerta</t>
  </si>
  <si>
    <t xml:space="preserve">Muestra del producto</t>
  </si>
  <si>
    <t xml:space="preserve">Otra</t>
  </si>
  <si>
    <t xml:space="preserve">Publicidad</t>
  </si>
  <si>
    <t xml:space="preserve">Ninguna</t>
  </si>
  <si>
    <t xml:space="preserve">Total</t>
  </si>
  <si>
    <t xml:space="preserve">Canales de distribución</t>
  </si>
  <si>
    <t xml:space="preserve">Punto de venta</t>
  </si>
  <si>
    <t xml:space="preserve">A domicilio</t>
  </si>
  <si>
    <t xml:space="preserve">Con distribuidores</t>
  </si>
  <si>
    <t xml:space="preserve">En este espacio se debe realizar la proyección de ventas a cinco años. Para los productos o servicios indique el incremento que este precio tendrá año a año teniendo en cuenta indicadores macroeconómicos como el IPC (Indice de precios al consumidor) y el IPP (Indice de precios al productor)</t>
  </si>
  <si>
    <t xml:space="preserve">Justificación de la proyección de ventas</t>
  </si>
  <si>
    <t xml:space="preserve">La proyección se basa en la capacidad instalada de 8 proyectos mensuales, con una estrategia de crecimiento progresivo en adquisición de clientes y optimización operativa. Se estima un incremento anual del 10% en el precio del servicio, alineado con el IPC y el valor creciente percibido por soluciones de automatización e inteligencia artificial. La demanda se sustenta en la necesidad creciente de las empresas por optimizar costos y escalar operaciones mediante tecnología.</t>
  </si>
  <si>
    <t xml:space="preserve">Incremento</t>
  </si>
  <si>
    <t xml:space="preserve">Año 2</t>
  </si>
  <si>
    <t xml:space="preserve">Año 3</t>
  </si>
  <si>
    <t xml:space="preserve">Año 4</t>
  </si>
  <si>
    <t xml:space="preserve">Año 5</t>
  </si>
  <si>
    <t xml:space="preserve">Indique el precio del producto o servicio para el primer año (Casillas sombreadas en gris)</t>
  </si>
  <si>
    <t xml:space="preserve">Producto</t>
  </si>
  <si>
    <t xml:space="preserve">Año 1</t>
  </si>
  <si>
    <t xml:space="preserve">Indique las unidades (Cantidades) que tiene planeado vender mes a mes y para los próximos 5 años (Casillas sombreadas en gris)</t>
  </si>
  <si>
    <t xml:space="preserve">PRODUCTO O SERVICIO 1</t>
  </si>
  <si>
    <t xml:space="preserve">AÑO 1</t>
  </si>
  <si>
    <t xml:space="preserve">AÑO 2</t>
  </si>
  <si>
    <t xml:space="preserve">AÑO 3</t>
  </si>
  <si>
    <t xml:space="preserve">AÑO 4</t>
  </si>
  <si>
    <t xml:space="preserve">AÑO 5</t>
  </si>
  <si>
    <t xml:space="preserve">Unidades</t>
  </si>
  <si>
    <t xml:space="preserve">Ingresos</t>
  </si>
  <si>
    <t xml:space="preserve">Mes 1</t>
  </si>
  <si>
    <t xml:space="preserve">Mes 2</t>
  </si>
  <si>
    <t xml:space="preserve">Mes 3</t>
  </si>
  <si>
    <t xml:space="preserve">Mes 4</t>
  </si>
  <si>
    <t xml:space="preserve">Mes 5</t>
  </si>
  <si>
    <t xml:space="preserve">Mes 6</t>
  </si>
  <si>
    <t xml:space="preserve">Mes 7</t>
  </si>
  <si>
    <t xml:space="preserve">Mes 8</t>
  </si>
  <si>
    <t xml:space="preserve">Mes 9</t>
  </si>
  <si>
    <t xml:space="preserve">Mes 10</t>
  </si>
  <si>
    <t xml:space="preserve">Mes 11</t>
  </si>
  <si>
    <t xml:space="preserve">Mes 12</t>
  </si>
  <si>
    <t xml:space="preserve">PRODUCTO O SERVICIO 2</t>
  </si>
  <si>
    <t xml:space="preserve">PRODUCTO O SERVICIO 3</t>
  </si>
  <si>
    <r>
      <rPr>
        <sz val="18"/>
        <color rgb="FF000000"/>
        <rFont val="Century Gothic"/>
        <family val="2"/>
      </rPr>
      <t xml:space="preserve">Primero, debe definir los costos fijos asociados a su proyecto. Es decir, aquellas actividades que se relacionan directamente o siempre están presentes para poder producir o prestar el servicio.(Diligenciar solamente las celdas en gris) 
Nota: En los Costos Fijos </t>
    </r>
    <r>
      <rPr>
        <b val="true"/>
        <sz val="18"/>
        <color rgb="FF000000"/>
        <rFont val="Century Gothic"/>
        <family val="2"/>
      </rPr>
      <t xml:space="preserve">NO CONSIDERAR LA MANO DE OBRA</t>
    </r>
    <r>
      <rPr>
        <sz val="18"/>
        <color rgb="FF000000"/>
        <rFont val="Century Gothic"/>
        <family val="2"/>
      </rPr>
      <t xml:space="preserve">, dado que se contabiliza en el elemento EQUIPO DE TRABAJO</t>
    </r>
  </si>
  <si>
    <t xml:space="preserve">COSTOS FIJOS</t>
  </si>
  <si>
    <t xml:space="preserve">Valor mensual ($)</t>
  </si>
  <si>
    <t xml:space="preserve">Cantidad requerida en el año 1</t>
  </si>
  <si>
    <t xml:space="preserve">Valor Total Año 1 ($)</t>
  </si>
  <si>
    <t xml:space="preserve">Internet</t>
  </si>
  <si>
    <t xml:space="preserve">Arriendo</t>
  </si>
  <si>
    <t xml:space="preserve">Modelos de IA</t>
  </si>
  <si>
    <t xml:space="preserve">Ahora debe definir los costos variables asociados a su producto o servicio. Es decir, aquellas actividades que varían con el nivel de producción o prestación del servicio. Los costos variables, cambian cuando mi producción cambia, es decir, si se produce más, los costos suben; si se produce menos, los costos bajan. Son por ejemplo, los asociados a la materia prima para elaborar nuestro producto o para prestar nuestro servicio.</t>
  </si>
  <si>
    <t xml:space="preserve">COSTOS VARIABLES PRODUCTO 1</t>
  </si>
  <si>
    <t xml:space="preserve">Materia Prima</t>
  </si>
  <si>
    <t xml:space="preserve">Unidad de medida</t>
  </si>
  <si>
    <t xml:space="preserve">Valor unitario ($)</t>
  </si>
  <si>
    <t xml:space="preserve">Cantidad por unidad de producto</t>
  </si>
  <si>
    <t xml:space="preserve">Valor Total ($)</t>
  </si>
  <si>
    <t xml:space="preserve">Consumo de APIs IA (OpenAI, procesamiento, tokens)</t>
  </si>
  <si>
    <t xml:space="preserve">Proyecto</t>
  </si>
  <si>
    <t xml:space="preserve">Ventas</t>
  </si>
  <si>
    <t xml:space="preserve">COSTOS VARIABLES PRODUCTO 2</t>
  </si>
  <si>
    <t xml:space="preserve">COSTOS VARIABLES PRODUCTO 3</t>
  </si>
  <si>
    <t xml:space="preserve">Valor unitario</t>
  </si>
  <si>
    <t xml:space="preserve">Valor Total</t>
  </si>
  <si>
    <t xml:space="preserve">Diligencie únicamente el porcentaje de participación que tiene cada uno de los productos en las ventas totales (Celdas sombreadas en gris)</t>
  </si>
  <si>
    <t xml:space="preserve">PRODUCTOS O SERVICIOS</t>
  </si>
  <si>
    <t xml:space="preserve">Precio de Venta</t>
  </si>
  <si>
    <t xml:space="preserve">Costo Variable</t>
  </si>
  <si>
    <t xml:space="preserve">Margen de contribución</t>
  </si>
  <si>
    <t xml:space="preserve">% Participación</t>
  </si>
  <si>
    <t xml:space="preserve">Margen de contribución ponderado</t>
  </si>
  <si>
    <t xml:space="preserve">PUNTO DE EQUILIBRIO
(Unidades totales)</t>
  </si>
  <si>
    <t xml:space="preserve">PUNTO DE EQUILIBRIO
(Unidades por producto o servicio)</t>
  </si>
  <si>
    <t xml:space="preserve">GASTOS DE ADMINISTRACIÓN Y VENTAS</t>
  </si>
  <si>
    <t xml:space="preserve">Los gastos de administración y ventas son aquellos costos que no hacen parte directa de la producción, pero que son necesarios para que la organización o asociación pueda funcionar y vender.
Por ejemplo están los gastos de oficina, papelería, servicios de teléfono o internet, gastos para dar a conocer y ofrecer el producto o servicio, como publicidad, participación en ferias, afiches, volantes, mensajes por redes sociales, transporte para llevar el producto al cliente o comisiones por ventas.
En resumen: son los gastos para manejar bien la organización y para lograr que el producto o servicio llegue al cliente</t>
  </si>
  <si>
    <t xml:space="preserve">Cantidad o Meses requeridos en el Año 1</t>
  </si>
  <si>
    <t xml:space="preserve">Publicidad </t>
  </si>
  <si>
    <t xml:space="preserve">Anual</t>
  </si>
  <si>
    <t xml:space="preserve">Diligencie cada uno de los cargos (autoempleo, puesto de trabajo, empleo directo) que harán parte del equipo de trabajo, sea cuidadosa(o) con el diligenciamiento dado que así deberá ejecutarse en la implementación del proyecto.
Describa detalladamente las principales funciones o actividades a realizar.
El diligenciamiento exclusivo de este elemento se verá reflejado en el indicador de Empleos a crear con los que se compromete el emprendedor o grupo asociativo.</t>
  </si>
  <si>
    <t xml:space="preserve">Factor prestacional</t>
  </si>
  <si>
    <t xml:space="preserve">Salud</t>
  </si>
  <si>
    <t xml:space="preserve">Pensión</t>
  </si>
  <si>
    <t xml:space="preserve">ARL</t>
  </si>
  <si>
    <t xml:space="preserve">Cesantías</t>
  </si>
  <si>
    <t xml:space="preserve">Interes de cesantías</t>
  </si>
  <si>
    <t xml:space="preserve">Prima Legal</t>
  </si>
  <si>
    <t xml:space="preserve">Vacaciones</t>
  </si>
  <si>
    <t xml:space="preserve">Parafiscales</t>
  </si>
  <si>
    <t xml:space="preserve">*Nota: Para el caso de jornales calcule el número de días requeridos en el mes y colóquelo en la casilla Asignación Mensual. </t>
  </si>
  <si>
    <t xml:space="preserve">Rol o cargo</t>
  </si>
  <si>
    <t xml:space="preserve">Tipo de vinculación</t>
  </si>
  <si>
    <t xml:space="preserve">Principales Funciones o Actividades a realizar</t>
  </si>
  <si>
    <t xml:space="preserve">Asignación Mensual ($)</t>
  </si>
  <si>
    <t xml:space="preserve">Total Asignación Mensual</t>
  </si>
  <si>
    <t xml:space="preserve">Meses requeridos en Año 1</t>
  </si>
  <si>
    <t xml:space="preserve">CEO / Desarrollador Fullstack IA</t>
  </si>
  <si>
    <t xml:space="preserve">Dirección estratégica del negocio, gestión comercial y cierre de ventas, diseño de soluciones de automatización, desarrollo e implementación de sistemas basados en inteligencia artificial, integración de herramientas tecnológicas, seguimiento de proyectos, soporte al cliente y optimización continua de procesos.</t>
  </si>
  <si>
    <t xml:space="preserve">Community manager</t>
  </si>
  <si>
    <t xml:space="preserve">Gestión de redes sociales y posicionamiento de marca Creación y publicación de contenido estratégico Interacción con la comunidad y generación de engagement Apoyo en campañas digitales y generación de leads</t>
  </si>
  <si>
    <t xml:space="preserve">Vendedor</t>
  </si>
  <si>
    <t xml:space="preserve">Prospección y contacto de clientes potenciales Presentación y cierre de ventas Seguimiento a oportunidades comerciales Gestión de pipeline y fidelización de clientes</t>
  </si>
  <si>
    <t xml:space="preserve">Indique el número de empleos indirectos que se impactan con la implementación de su iniciativa </t>
  </si>
  <si>
    <r>
      <rPr>
        <sz val="14"/>
        <color rgb="FF000000"/>
        <rFont val="Century Gothic"/>
        <family val="2"/>
      </rPr>
      <t xml:space="preserve">Defina cuanto es el valor del proyecto, indicando que actividades serán solicitadas para financiar con el Recurso de Fondo Emprender.
</t>
    </r>
    <r>
      <rPr>
        <b val="true"/>
        <sz val="14"/>
        <color rgb="FF000000"/>
        <rFont val="Century Gothic"/>
        <family val="2"/>
      </rPr>
      <t xml:space="preserve">Rubros Financiables</t>
    </r>
    <r>
      <rPr>
        <sz val="14"/>
        <color rgb="FF000000"/>
        <rFont val="Century Gothic"/>
        <family val="2"/>
      </rPr>
      <t xml:space="preserve"> por el Fondo Emprender CREAR
1. Pago de salarios u honorarios. (En la solicitud al Fondo Emprender considere al menos 4 meses por cada empleo)
2. Insumos para el ciclo productivo (materia prima y bienes en proceso) que contribuyan de manera directa o que forman parte del proceso de producción.
3. Adquisición de maquinaria, equipos y software.
4. Costos que se generen por permisos, licencias y registros, requeridos por la ley para el normal funcionamiento de la iniciativa empresarial.
5. Las adecuaciones o remodelaciones estructurales y locativas del inmueble donde se desarrollará la iniciativa empresarial.
6. Las adecuaciones técnicas necesarias para el proceso productivo o montaje industrial. Para estos fines se entiende por adecuación técnica toda obra civil que sea indispensable para el desarrollo de la actividad y ejecución de la iniciativa empresarial, rubro que en ningún caso podrá ser utilizado con fines de vivienda del beneficiario.
7. Adquisición de franquicias, siempre y cuando, además de los criterios señalados en el presente Acuerdo, este modelo de negocio genere valor agregado sustentado.
</t>
    </r>
  </si>
  <si>
    <t xml:space="preserve">1. INVERSIONES FIJAS</t>
  </si>
  <si>
    <t xml:space="preserve">En este punto se debe describir
Infraestructura, Terrenos y Construcciones
Maquinaria y Equipo
Muebles y Enseres
Equipo de transporte y carga
Equipos de cómputo, comunicaciones y otras herramientas
Semovientes
Cultivos permanentes
</t>
  </si>
  <si>
    <r>
      <rPr>
        <sz val="16"/>
        <color rgb="FF000000"/>
        <rFont val="Century Gothic"/>
        <family val="2"/>
      </rPr>
      <t xml:space="preserve">Rubro Financiable
 </t>
    </r>
    <r>
      <rPr>
        <sz val="11"/>
        <color rgb="FF000000"/>
        <rFont val="Century Gothic"/>
        <family val="2"/>
      </rPr>
      <t xml:space="preserve">(Seleccione de la lista desplegable)</t>
    </r>
  </si>
  <si>
    <t xml:space="preserve">Valor Unitario</t>
  </si>
  <si>
    <t xml:space="preserve">Cantidad</t>
  </si>
  <si>
    <t xml:space="preserve">Límites rubros financiables</t>
  </si>
  <si>
    <t xml:space="preserve">Límite</t>
  </si>
  <si>
    <t xml:space="preserve">Registrado</t>
  </si>
  <si>
    <t xml:space="preserve">Adquisición de maquinaria, equipos y software</t>
  </si>
  <si>
    <t xml:space="preserve">Computador de alto rendimiento para desarrollo de automatizaciones e inteligencia artificial (procesamiento, integraciones, despliegues).</t>
  </si>
  <si>
    <t xml:space="preserve">Adquisición o arriendo de bienes muebles y vehículos automotores</t>
  </si>
  <si>
    <t xml:space="preserve">Adecuaciones o remodelaciones estructurales</t>
  </si>
  <si>
    <t xml:space="preserve">Adecuaciones técnicas </t>
  </si>
  <si>
    <t xml:space="preserve">Tasas para el registro de derechos de propiedad intelectual o industrial</t>
  </si>
  <si>
    <t xml:space="preserve">TOTAL  INVERSIONES FIJAS</t>
  </si>
  <si>
    <t xml:space="preserve">En este punto puede describir
Adecuaciones
Permisos y Licencias
Materia prima
Mano de obra
Otros Costos (Ej: Transporte, Empaques, Etiquetas…)
Gastos de administración y ventas (Arriendo, Publicidad, Recurso humano administrativo), entre otros</t>
  </si>
  <si>
    <t xml:space="preserve"> GASTOS ANTES DE INICIAR (PREOPERATIVOS)</t>
  </si>
  <si>
    <t xml:space="preserve">Valor</t>
  </si>
  <si>
    <t xml:space="preserve">Estrategia de comunicación</t>
  </si>
  <si>
    <t xml:space="preserve">Arriendo oficina</t>
  </si>
  <si>
    <t xml:space="preserve">Pago de salarios u honorarios</t>
  </si>
  <si>
    <t xml:space="preserve">Pago de salarios y honorarios al equio durante 9 meses</t>
  </si>
  <si>
    <t xml:space="preserve">Insumos para el ciclo productivo</t>
  </si>
  <si>
    <t xml:space="preserve">Internet y softwares para trabajo</t>
  </si>
  <si>
    <t xml:space="preserve">TOTAL  GASTOS PREOPERATIVOS</t>
  </si>
  <si>
    <t xml:space="preserve">CANTIDAD DE ASOCIADOS O INTEGRANTES</t>
  </si>
  <si>
    <t xml:space="preserve">VALOR SOLICITADO AL FONDO EMPRENDER</t>
  </si>
  <si>
    <t xml:space="preserve">EMPLEOS A GENERAR</t>
  </si>
  <si>
    <t xml:space="preserve">CUMPLE CON RECURSOS, INTEGRANTES Y EMPLEOS</t>
  </si>
  <si>
    <t xml:space="preserve">Se muestran los rangos y montos definidos en el Acuerdo 007 de 2025; sin embargo, los términos de referencia tienen la facultad de definir algunos de ellos. Se debe revisar los términos de referencia de la Convocatoria para conocer los rangos y montos permitidos en las postulaciones</t>
  </si>
  <si>
    <t xml:space="preserve">Asociaciones de aprendices y/o egresados del SENA, iniciativas asociativas, cooperativas de las personas de la economía popular y demás formas asociativas de campesinos</t>
  </si>
  <si>
    <t xml:space="preserve">Asociaciones Campesinas / Cooperativas campesinas y otras formas asociativas campesinas y cooperativas de la población de la economía popular</t>
  </si>
  <si>
    <t xml:space="preserve">Hasta SMMLV</t>
  </si>
  <si>
    <t xml:space="preserve">Autoempleo, puesto de trabajo, empleo directo</t>
  </si>
  <si>
    <t xml:space="preserve">Desde  SMMLV</t>
  </si>
  <si>
    <t xml:space="preserve">Número de socios o asociados</t>
  </si>
  <si>
    <t xml:space="preserve">5-9.</t>
  </si>
  <si>
    <t xml:space="preserve">10-14.</t>
  </si>
  <si>
    <t xml:space="preserve">21-26.</t>
  </si>
  <si>
    <t xml:space="preserve">15 en adelante</t>
  </si>
  <si>
    <t xml:space="preserve">27 en adelante</t>
  </si>
  <si>
    <t xml:space="preserve">¿Qué avances se han realizado hasta el momento con la iniciativa y qué recursos están disponibles?</t>
  </si>
  <si>
    <t xml:space="preserve">Legal</t>
  </si>
  <si>
    <t xml:space="preserve">La empresa cuenta con registro de marca vigente y una estructura legal habilitada para operar en Colombia, incluyendo la capacidad de facturación de servicios tecnológicos conforme a la normativa vigente. Adicionalmente, se han definido y documentado condiciones comerciales claras, contratos de prestación de servicios, términos y condiciones de uso, así como lineamientos de tratamiento de datos personales en cumplimiento de la regulación aplicable. Esto permite operar de manera formal, reducir riesgos legales y generar confianza en clientes empresariales, facilitando relaciones comerciales sostenibles y escalables en el tiempo.</t>
  </si>
  <si>
    <t xml:space="preserve">Comercial</t>
  </si>
  <si>
    <t xml:space="preserve">Se han desarrollado relaciones comerciales activas con múltiples empresas, logrando ventas recurrentes en servicios de automatización e inteligencia artificial. La base de clientes incluye organizaciones de diversos sectores como educación, marketing, industria y servicios, lo que demuestra la versatilidad y adaptabilidad del modelo de negocio. Adicionalmente, se han validado diferentes canales de adquisición como referidos, networking estratégico y ventas consultivas, evidenciando tracción comercial real. Este proceso ha permitido identificar patrones de compra, necesidades recurrentes del mercado y oportunidades de crecimiento, consolidando una base sólida para escalar la operación comercial.</t>
  </si>
  <si>
    <t xml:space="preserve">Técnico</t>
  </si>
  <si>
    <t xml:space="preserve">Ambiental</t>
  </si>
  <si>
    <t xml:space="preserve">El modelo de negocio opera de forma 100% digital, reduciendo significativamente el uso de papel, desplazamientos físicos y consumo de recursos asociados a operaciones tradicionales. A través de la automatización de procesos empresariales, se promueve una gestión más eficiente de los recursos dentro de las organizaciones cliente, disminuyendo redundancias y optimizando el uso de energía y tiempo. Este enfoque contribuye indirectamente a la reducción de la huella ambiental y fomenta prácticas empresariales más sostenibles, alineadas con tendencias globales de eficiencia y responsabilidad ambiental.</t>
  </si>
  <si>
    <t xml:space="preserve">El proyecto ha generado ingresos por $65.560.000 COP, con un total de 39 servicios vendidos, lo que valida la existencia de una demanda real en el mercado. Se han atendido clientes como EAFIT, IHS Solutions, Impact Hub, entre otros, demostrando capacidad de ejecución, entrega y monetización del servicio. Estos resultados evidencian no solo interés del mercado, sino también capacidad efectiva de conversión, satisfacción del cliente y generación de valor. La experiencia acumulada permite proyectar crecimiento con mayor certeza, al contar con validación comercial, aprendizaje del cliente y un modelo probado en condiciones reales.</t>
  </si>
  <si>
    <t xml:space="preserve">En este espacio puede colocar enlaces de redes sociales, páginas web, información de clientes o demás que considere que evidencien el avance de la iniciativa propuesta</t>
  </si>
  <si>
    <t xml:space="preserve">Redes sociales https://www.instagram.com/ai4u.com.co/, website: www.ai4u.com.co</t>
  </si>
  <si>
    <r>
      <rPr>
        <sz val="18"/>
        <rFont val="Century Gothic"/>
        <family val="2"/>
      </rPr>
      <t xml:space="preserve">Por favor diligenciar el monto en pesos ($) en el mes en el que se ejecutarán </t>
    </r>
    <r>
      <rPr>
        <b val="true"/>
        <sz val="18"/>
        <rFont val="Century Gothic"/>
        <family val="2"/>
      </rPr>
      <t xml:space="preserve">los recursos solicitados al Fondo Emprender</t>
    </r>
    <r>
      <rPr>
        <sz val="18"/>
        <rFont val="Century Gothic"/>
        <family val="2"/>
      </rPr>
      <t xml:space="preserve"> de acuerdo con las actividades planteadas previamente en el punto 12. Necesidades y Requerimientos. Los recursos deberán ser ejecutados máximo hasta el Mes 9 de ejecución del proyecto.</t>
    </r>
  </si>
  <si>
    <t xml:space="preserve">Rubro Financiable</t>
  </si>
  <si>
    <t xml:space="preserve">Mes 1
($)</t>
  </si>
  <si>
    <t xml:space="preserve">Mes 2
($)</t>
  </si>
  <si>
    <t xml:space="preserve">Mes 3
($)</t>
  </si>
  <si>
    <t xml:space="preserve">Mes 4
($)</t>
  </si>
  <si>
    <t xml:space="preserve">Mes 5
($)</t>
  </si>
  <si>
    <t xml:space="preserve">Mes 6
($)</t>
  </si>
  <si>
    <t xml:space="preserve">Mes 7
($)</t>
  </si>
  <si>
    <t xml:space="preserve">Mes 8
($)</t>
  </si>
  <si>
    <t xml:space="preserve">Mes 9
($)</t>
  </si>
  <si>
    <t xml:space="preserve">Pago de salarios u honorarios (CEO)       </t>
  </si>
  <si>
    <t xml:space="preserve">Software</t>
  </si>
  <si>
    <t xml:space="preserve">TOTAL PLAN OPERATIVO</t>
  </si>
  <si>
    <t xml:space="preserve">Cuéntenos cómo su iniciativa aporta al crecimiento económico de su región, cuidado del medio ambiente, a su comunidad y en el uso de tecnologías.</t>
  </si>
  <si>
    <t xml:space="preserve">Económico</t>
  </si>
  <si>
    <t xml:space="preserve">AI4U impulsa el crecimiento económico de la región mediante la transformación digital de las PyMEs, optimizando sus procesos a través de automatización e inteligencia artificial. Al reducir hasta un 70% el tiempo operativo en tareas manuales, las empresas pueden reasignar recursos hacia actividades de mayor valor como ventas, innovación y expansión. Esto se traduce en incremento de ingresos, mejora en márgenes operativos y fortalecimiento de su competitividad en mercados locales e internacionales. Adicionalmente, al facilitar el crecimiento empresarial, se fomenta la generación de empleo directo e indirecto, contribuyendo al dinamismo económico regional.</t>
  </si>
  <si>
    <t xml:space="preserve">El modelo de AI4U es inherentemente sostenible al operar de forma digital y remota, reduciendo significativamente el uso de papel, la necesidad de desplazamientos físicos y el consumo de recursos asociados a operaciones tradicionales. La automatización de procesos disminuye la redundancia operativa y optimiza el uso de energía en las empresas cliente. Asimismo, al promover la digitalización, se contribuye a la reducción de la huella de carbono organizacional, alineándose con prácticas empresariales más responsables y sostenibles a largo plazo.</t>
  </si>
  <si>
    <t xml:space="preserve">Social</t>
  </si>
  <si>
    <t xml:space="preserve">AI4U genera impacto social mediante la democratización del acceso a tecnologías avanzadas como la inteligencia artificial, permitiendo que empresas de menor tamaño puedan acceder a herramientas que antes estaban limitadas a grandes corporaciones. A través de la implementación de soluciones y la capacitación continua, se promueve el desarrollo de habilidades digitales en los equipos de trabajo, fortaleciendo el talento local. Además, al liberar tiempo operativo de tareas repetitivas, se mejora la calidad de vida de los colaboradores, permitiéndoles enfocarse en actividades más estratégicas, creativas y de mayor valor humano.</t>
  </si>
  <si>
    <t xml:space="preserve">Tecnológico</t>
  </si>
  <si>
    <t xml:space="preserve">La iniciativa acelera la adopción de tecnologías emergentes en empresas tradicionales, facilitando su transición hacia modelos de negocio más eficientes, digitales y basados en datos. AI4U actúa como un puente entre la tecnología avanzada y su aplicación práctica, integrando herramientas de inteligencia artificial, automatización y analítica en entornos empresariales reales. Esto contribuye a cerrar brechas tecnológicas en la región, fomenta la cultura de innovación y posiciona a las empresas como actores competitivos en un entorno global cada vez más digitalizado.</t>
  </si>
  <si>
    <r>
      <rPr>
        <sz val="18"/>
        <color rgb="FF000000"/>
        <rFont val="Century Gothic"/>
        <family val="2"/>
      </rPr>
      <t xml:space="preserve">En este punto quedan descritos los indicadores  de acuerdo con la información previamente diligenciada y con los que </t>
    </r>
    <r>
      <rPr>
        <b val="true"/>
        <u val="single"/>
        <sz val="18"/>
        <color rgb="FF000000"/>
        <rFont val="Century Gothic"/>
        <family val="2"/>
      </rPr>
      <t xml:space="preserve">se compromete el postulante o grupo de asociados, en la ejecución de su iniciativa</t>
    </r>
    <r>
      <rPr>
        <sz val="18"/>
        <color rgb="FF000000"/>
        <rFont val="Century Gothic"/>
        <family val="2"/>
      </rPr>
      <t xml:space="preserve"> si llega(n) a ser beneficiario(s) de los recursos del Fondo Emprender</t>
    </r>
  </si>
  <si>
    <t xml:space="preserve">INDICADOR</t>
  </si>
  <si>
    <t xml:space="preserve">Número o Valor</t>
  </si>
  <si>
    <t xml:space="preserve">Descripción del indicador</t>
  </si>
  <si>
    <t xml:space="preserve">Empleos a crear</t>
  </si>
  <si>
    <t xml:space="preserve">El valor de este indicador se define de acuerdo con la información descrita en el punto 11. Equipo de Trabajo donde se registran los cargos, actividades a realizar y tipo de contratación.</t>
  </si>
  <si>
    <t xml:space="preserve">Eventos de mercadeo</t>
  </si>
  <si>
    <t xml:space="preserve">Debe darse cumplimiento al indicador descrito en el punto 8. Canales frente a los eventos a realizarse para visibilizar el proyecto.</t>
  </si>
  <si>
    <t xml:space="preserve">Contrapartidas</t>
  </si>
  <si>
    <t xml:space="preserve">Debe darse cumplimiento a la realización de eventos de transferencia de conocimiento los cuales se programarán de manera concertada con el SENA</t>
  </si>
  <si>
    <t xml:space="preserve">Presupuesto</t>
  </si>
  <si>
    <t xml:space="preserve">Debe darse cumplimiento a la ejecución de los recursos solicitados al Fondo Emprender</t>
  </si>
  <si>
    <t xml:space="preserve">Producción a generar Año 1</t>
  </si>
  <si>
    <t xml:space="preserve">Unidades a producir o servicios a prestar en el Año 1</t>
  </si>
  <si>
    <t xml:space="preserve">Ventas a generar Año 1</t>
  </si>
  <si>
    <t xml:space="preserve">Ventas a generar en el Año 1</t>
  </si>
  <si>
    <t xml:space="preserve">Indique actores de otras instituciones diferentes al SENA que puedan ayudar al desarrollo de su iniciativa empresarial (Pueden ser del sector público, del sector privado, y demás que considere)</t>
  </si>
  <si>
    <t xml:space="preserve">Nombre </t>
  </si>
  <si>
    <t xml:space="preserve">Actor (Internacional, Nacional, Público, Privado)</t>
  </si>
  <si>
    <t xml:space="preserve">Localización Geográfica</t>
  </si>
  <si>
    <t xml:space="preserve">¿Qué necesita o requiere del actor clave?</t>
  </si>
  <si>
    <t xml:space="preserve">Camara de comercio         </t>
  </si>
  <si>
    <t xml:space="preserve">Publico nacional</t>
  </si>
  <si>
    <t xml:space="preserve">Acceso a redes empresariales, validación comercial y espacios de networking para adquisición de clientes.</t>
  </si>
  <si>
    <t xml:space="preserve">ProColombia</t>
  </si>
  <si>
    <t xml:space="preserve">Apoyo en internacionalización, conexión con mercados extranjeros y posicionamiento de servicios tecnológicos.</t>
  </si>
  <si>
    <t xml:space="preserve">Universidades</t>
  </si>
  <si>
    <t xml:space="preserve">Nacional publico y privado</t>
  </si>
  <si>
    <t xml:space="preserve">Acceso a talento calificado, validación académica y desarrollo conjunto de proyectos de innovación.</t>
  </si>
  <si>
    <t xml:space="preserve">Agencias de Marketing Digital</t>
  </si>
  <si>
    <t xml:space="preserve">Privado – Nacional</t>
  </si>
  <si>
    <t xml:space="preserve">Alianzas comerciales para distribución de servicios y generación de clientes B2B.</t>
  </si>
  <si>
    <t xml:space="preserve">Plataformas tecnológicas (OpenAI, Claude)</t>
  </si>
  <si>
    <t xml:space="preserve">Internacional – Privado</t>
  </si>
  <si>
    <t xml:space="preserve">Global</t>
  </si>
  <si>
    <t xml:space="preserve">Infraestructura tecnológica, APIs y herramientas para el desarrollo de soluciones de automatización e inteligencia artificial.</t>
  </si>
  <si>
    <t xml:space="preserve">Diligenciar este elemento y la Hoja Grupo Asociativo para los proyectos que se presentan de manera asociativa</t>
  </si>
  <si>
    <t xml:space="preserve">Justificación: Explique las razones por las que se hace necesario crear un grupo asociativo en vez de hacerlo individual ¿Cuál es ese objetivo común del grupo asociativo? ¿por qué es importante trabajar en conjunto para lograr ese objetivo común?</t>
  </si>
  <si>
    <r>
      <rPr>
        <sz val="18"/>
        <rFont val="Century Gothic"/>
        <family val="2"/>
      </rPr>
      <t xml:space="preserve">¿Cuál es el impacto que tendrá el grupo asociativo en la comunidad donde estará ubicada la iniciativa? </t>
    </r>
    <r>
      <rPr>
        <sz val="16"/>
        <rFont val="Century Gothic"/>
        <family val="2"/>
      </rPr>
      <t xml:space="preserve">(Aquí deben contar qué beneficios concretos traerá el grupo para la comunidad. Pueden pensar en cosas que se puedan medir (cuántos empleos, cuántas familias ganan ingresos, cuánto producen o venden) y también en lo social: cómo el grupo une a la gente, fortalece la confianza, la solidaridad y ayuda a resolver necesidades del lugar)</t>
    </r>
  </si>
  <si>
    <t xml:space="preserve">Frente al líder o representante de la iniciativa: Describan quien es, sus cualidades, cuál es su experiencia, qué tareas tendrá a cargo y ¿por qué lo eligieron para esta responsabilidad?</t>
  </si>
  <si>
    <t xml:space="preserve">Describa la trayectoria (si la hay) como grupo asociativo dando respuesta principalmente a estos interrogantes: ¿Qué actividad productiva vienen realizando juntos? 
¿Tienen un espacio físico compartido para trabajar (predio, local, taller, galpón, parcela)? ¿Cómo se coordinan para producir o prestar el servicio día a día? ¿Alguna institución pública o privada del municipio los conoce y puede referenciarlos?</t>
  </si>
  <si>
    <t xml:space="preserve">Cómo se tomarán las decisiones y se realizará la gestión de los recursos</t>
  </si>
  <si>
    <t xml:space="preserve">Indicar las principales responsabilidades que tendrá la asociación</t>
  </si>
  <si>
    <t xml:space="preserve">Rubros Financiables</t>
  </si>
  <si>
    <t xml:space="preserve">Adquisición e implementación de franquicias mediante el modelo de franquicias</t>
  </si>
  <si>
    <t xml:space="preserve">Permisos, licencias y registros</t>
  </si>
  <si>
    <t xml:space="preserve">152 - 1C / Economía Campesina</t>
  </si>
  <si>
    <t xml:space="preserve">153 - 1C / Multisectorial</t>
  </si>
  <si>
    <t xml:space="preserve">154 - 1C / Emprendimiento Femenino</t>
  </si>
  <si>
    <t xml:space="preserve">155 - 1C / Jóvenes Emprendedores</t>
  </si>
  <si>
    <t xml:space="preserve">156 - 1C / Economía Popular</t>
  </si>
  <si>
    <t xml:space="preserve">157 - 1C / Municipios PDET y PNIS</t>
  </si>
  <si>
    <t xml:space="preserve">158 - 1C /Artesanías</t>
  </si>
  <si>
    <t xml:space="preserve">159 - 1C / Víctimas y Vulnerables</t>
  </si>
  <si>
    <t xml:space="preserve">160 - 1C / Zona de Paz</t>
  </si>
  <si>
    <t xml:space="preserve">161 - 1C / Personas con discapacidad</t>
  </si>
  <si>
    <t xml:space="preserve">162 - 1C  /Indígenas</t>
  </si>
  <si>
    <t xml:space="preserve">163 - 1C / NARP</t>
  </si>
  <si>
    <t xml:space="preserve">309 - 1C / El Peñol</t>
  </si>
  <si>
    <t xml:space="preserve">310 - 1C / San Carlos</t>
  </si>
  <si>
    <t xml:space="preserve">311 - 1C / Titiribi</t>
  </si>
  <si>
    <t xml:space="preserve">312 - 1C / Tame</t>
  </si>
  <si>
    <t xml:space="preserve">314 - 1C / Palmar de Varela</t>
  </si>
  <si>
    <t xml:space="preserve">315 - 1C / Nobsa</t>
  </si>
  <si>
    <t xml:space="preserve">316 - 1C / Ramiriquí</t>
  </si>
  <si>
    <t xml:space="preserve">317 - 1C / San Pablo de Borbur</t>
  </si>
  <si>
    <t xml:space="preserve">318 - 1C / Zetaquirá</t>
  </si>
  <si>
    <t xml:space="preserve">319 - 1C / Aguazul</t>
  </si>
  <si>
    <t xml:space="preserve">320 - 1C / Trinidad</t>
  </si>
  <si>
    <t xml:space="preserve">321 - 1C / Suarez</t>
  </si>
  <si>
    <t xml:space="preserve">322 - 1C / Timbio</t>
  </si>
  <si>
    <t xml:space="preserve">323 - 1C / Astrea</t>
  </si>
  <si>
    <t xml:space="preserve">324 - 1C / Gonzalez</t>
  </si>
  <si>
    <t xml:space="preserve">325 - 1C / Chocó Gobernación</t>
  </si>
  <si>
    <t xml:space="preserve">326 - 1C / Nuevo Belén de Bajirá</t>
  </si>
  <si>
    <t xml:space="preserve">327 - 1C / La Mesa</t>
  </si>
  <si>
    <t xml:space="preserve">328 - 1C / Aipe</t>
  </si>
  <si>
    <t xml:space="preserve">329 - 1C / San Agustín</t>
  </si>
  <si>
    <t xml:space="preserve">330 - 1C / Ipiales</t>
  </si>
  <si>
    <t xml:space="preserve">331 - 1C / Chipatá</t>
  </si>
  <si>
    <t xml:space="preserve">332 - 1C / El Carmen de Chucurí</t>
  </si>
  <si>
    <t xml:space="preserve">333 - 1C / Florián</t>
  </si>
  <si>
    <t xml:space="preserve">334 - 1C / Lebrija</t>
  </si>
  <si>
    <t xml:space="preserve">335 - 1C / Puerto Parra</t>
  </si>
  <si>
    <t xml:space="preserve">336 - 1C / Argelia</t>
  </si>
  <si>
    <t xml:space="preserve">337 - 1C / Bugalagrande</t>
  </si>
  <si>
    <t xml:space="preserve">Salario mínimo mensual vigente</t>
  </si>
  <si>
    <t xml:space="preserve">integrantes individual mínimo</t>
  </si>
  <si>
    <t xml:space="preserve">integrantes individual máximo</t>
  </si>
  <si>
    <t xml:space="preserve">Monto Mínimo</t>
  </si>
  <si>
    <t xml:space="preserve">Monto Máximo</t>
  </si>
  <si>
    <t xml:space="preserve">Empleos Minimos</t>
  </si>
  <si>
    <t xml:space="preserve">Smmlv mínimo</t>
  </si>
  <si>
    <t xml:space="preserve">Smmlv máximo</t>
  </si>
  <si>
    <t xml:space="preserve">Asociativo</t>
  </si>
  <si>
    <t xml:space="preserve">Asociativos Cantidad Integrantes mínimos</t>
  </si>
  <si>
    <t xml:space="preserve">Asociativos Cantidad Integrantes máximo</t>
  </si>
  <si>
    <t xml:space="preserve">Tipo asociatividad (Individual o asociativo)</t>
  </si>
  <si>
    <t xml:space="preserve">integrantes presentados</t>
  </si>
  <si>
    <t xml:space="preserve">Recursos solicitados $$</t>
  </si>
  <si>
    <t xml:space="preserve">Empleos propuestos</t>
  </si>
  <si>
    <t xml:space="preserve">Cumple con integrantes </t>
  </si>
  <si>
    <t xml:space="preserve">Cumple con los recursos solicitado</t>
  </si>
  <si>
    <t xml:space="preserve">Cumple con Empleos propuestos</t>
  </si>
  <si>
    <t xml:space="preserve">Cumple con Recursos,  integrantes y empleos</t>
  </si>
  <si>
    <t xml:space="preserve">Por favor diligencie toda la información de las personas que postulan la iniciativa, tanto para proyectos individuales (1) como asociativos</t>
  </si>
  <si>
    <t xml:space="preserve">Frente al elemento "Función principal" de cada uno de los miembros de la iniciativa, los cuales deben clasificarse así:</t>
  </si>
  <si>
    <t xml:space="preserve">1. Gestión y Administración:
   - Establecer y mantener una estructura de gobierno eficaz.
   - Designar y supervisar a los miembros de la junta directiva u órganos de gobierno.
   - Garantizar el cumplimiento de los estatutos, reglamentos internos y normativas legales aplicables.
2. Transparencia y Responsabilidad:
   - Mantener registros precisos y transparentes de las actividades y decisiones de la iniciativa
   - Presentar informes financieros y de actividades de manera periódica a los miembros y otras partes interesadas.
   - Actuar de manera
3. Gestión de Recursos:
   - Administrar eficientemente los recursos financieros y materiales de la iniciativa
   - Garantizar que los fondos se utilicen de manera adecuada y en línea con los objetivos de la iniciativa.
   - Buscar fuentes de financiamiento sostenibles para apoyar las actividades de la iniciativa ética y responsable en todas las actividades de la iniciativa.
4. Relaciones con los Miembros y la Comunidad:
   - Fomentar la participación activa y el compromiso de los miembros en las actividades de la iniciativa.
   - Mantener una comunicación abierta y efectiva con los miembros, socios y otras partes interesadas.
   - Colaborar con otras organizaciones y entidades para promover los objetivos de la iniciativa.
5. Cumplimiento Legal:
   - Cumplir con todas las leyes y regulaciones aplicables a la iniciativa.
   - Presentar informes fiscales y legales requeridos por las autoridades competentes.
   - Proteger los derechos y el bienestar de los miembros, empleados y otras partes interesadas.</t>
  </si>
  <si>
    <t xml:space="preserve">Diligenciar para caso individual y asociativo</t>
  </si>
  <si>
    <t xml:space="preserve">SE HAN DILIGENCIADO:</t>
  </si>
  <si>
    <t xml:space="preserve">  INTEGRANTES DE LA INICIATIVA A CREAR</t>
  </si>
  <si>
    <t xml:space="preserve">INFORMACIÓN DE LOS INTEGRANTES DE LA INICIATIVA
(Diligencie todas las casillas por integrante)</t>
  </si>
  <si>
    <t xml:space="preserve">No</t>
  </si>
  <si>
    <t xml:space="preserve">Nombres y Apellidos Completos</t>
  </si>
  <si>
    <t xml:space="preserve">Tipo de Documento de identidad</t>
  </si>
  <si>
    <t xml:space="preserve">Número de documento</t>
  </si>
  <si>
    <t xml:space="preserve">Rol dentro del grupo</t>
  </si>
  <si>
    <t xml:space="preserve">Participación % en la toma de decisiones</t>
  </si>
  <si>
    <t xml:space="preserve">Función principal</t>
  </si>
  <si>
    <t xml:space="preserve">Género</t>
  </si>
  <si>
    <t xml:space="preserve">Edad</t>
  </si>
  <si>
    <t xml:space="preserve">Caracterización</t>
  </si>
  <si>
    <t xml:space="preserve">Teléfono Contacto</t>
  </si>
  <si>
    <t xml:space="preserve">Ingresos mensuales promedio actuales</t>
  </si>
  <si>
    <t xml:space="preserve">Ninguno</t>
  </si>
  <si>
    <t xml:space="preserve">Tipo de documento</t>
  </si>
  <si>
    <t xml:space="preserve">Función Principal</t>
  </si>
  <si>
    <t xml:space="preserve">Genero</t>
  </si>
  <si>
    <t xml:space="preserve">Gestión de Recursos</t>
  </si>
  <si>
    <t xml:space="preserve">Relaciones con los Miembros y la Comunidad</t>
  </si>
  <si>
    <t xml:space="preserve">Cumplimiento Legal</t>
  </si>
  <si>
    <t xml:space="preserve">Economía Popular</t>
  </si>
  <si>
    <t xml:space="preserve">Migrantes que retornan al país</t>
  </si>
  <si>
    <t xml:space="preserve">Mujer cabeza de hogar</t>
  </si>
  <si>
    <t xml:space="preserve">Negritudes</t>
  </si>
  <si>
    <t xml:space="preserve">TOTAL INICIATIVA - VALOR SOLICITADO AL FONDO EMPRENDER</t>
  </si>
  <si>
    <t xml:space="preserve">Diligenciar la tasa de descuento</t>
  </si>
  <si>
    <t xml:space="preserve">DILIGENCIAR</t>
  </si>
  <si>
    <t xml:space="preserve">ESTADO DE RESULTADOS</t>
  </si>
  <si>
    <t xml:space="preserve">Mano de Obra</t>
  </si>
  <si>
    <t xml:space="preserve">Costos Fijos</t>
  </si>
  <si>
    <t xml:space="preserve">Permisos y Licencias</t>
  </si>
  <si>
    <t xml:space="preserve">Utilidad Bruta</t>
  </si>
  <si>
    <t xml:space="preserve">Gastos de Administración y Ventas</t>
  </si>
  <si>
    <t xml:space="preserve">Utilidad Operativa</t>
  </si>
  <si>
    <t xml:space="preserve">Impuesto de Renta</t>
  </si>
  <si>
    <t xml:space="preserve">Utilidad Neta Final</t>
  </si>
  <si>
    <t xml:space="preserve">*Nota: Si su proyecto es individual no le será calculado valor por Impuesto de Renta</t>
  </si>
  <si>
    <t xml:space="preserve">FLUJO DE CAJA</t>
  </si>
  <si>
    <t xml:space="preserve">Flujo de caja para evaluación</t>
  </si>
  <si>
    <t xml:space="preserve">TIR</t>
  </si>
  <si>
    <t xml:space="preserve">VALOR PRESENTE NETO</t>
  </si>
  <si>
    <t xml:space="preserve">Línea de financiación</t>
  </si>
  <si>
    <t xml:space="preserve">ID Proyecto</t>
  </si>
  <si>
    <t xml:space="preserve">Convocatoria</t>
  </si>
  <si>
    <t xml:space="preserve">Departamento</t>
  </si>
  <si>
    <t xml:space="preserve">Municipio</t>
  </si>
  <si>
    <t xml:space="preserve">Nombre de la Iniciativa</t>
  </si>
  <si>
    <t xml:space="preserve">Sector</t>
  </si>
  <si>
    <t xml:space="preserve">Actividad Económica</t>
  </si>
  <si>
    <t xml:space="preserve">Datos Líder Proyecto</t>
  </si>
  <si>
    <t xml:space="preserve">Documento de identidad Líder Proyecto</t>
  </si>
  <si>
    <t xml:space="preserve">Monto Solicitado</t>
  </si>
  <si>
    <t xml:space="preserve">No. Asociados</t>
  </si>
  <si>
    <t xml:space="preserve">Empleos a retener
N/A</t>
  </si>
  <si>
    <t xml:space="preserve">Total Empleos</t>
  </si>
  <si>
    <t xml:space="preserve">Eventos de Mercadeo a cumplir</t>
  </si>
  <si>
    <t xml:space="preserve">Contrapartidas a cumplir</t>
  </si>
  <si>
    <t xml:space="preserve">Empleos indirectos</t>
  </si>
  <si>
    <t xml:space="preserve">Crear</t>
  </si>
  <si>
    <t xml:space="preserve">No Binario</t>
  </si>
  <si>
    <t xml:space="preserve">Trans </t>
  </si>
  <si>
    <t xml:space="preserve">Transparencia y Responsabilidad</t>
  </si>
  <si>
    <t xml:space="preserve">Cuidadores</t>
  </si>
</sst>
</file>

<file path=xl/styles.xml><?xml version="1.0" encoding="utf-8"?>
<styleSheet xmlns="http://schemas.openxmlformats.org/spreadsheetml/2006/main">
  <numFmts count="15">
    <numFmt numFmtId="164" formatCode="General"/>
    <numFmt numFmtId="165" formatCode="_(* #,##0.00_);_(* \(#,##0.00\);_(* \-??_);_(@_)"/>
    <numFmt numFmtId="166" formatCode="0"/>
    <numFmt numFmtId="167" formatCode="[$-F800]dddd&quot;, &quot;mmmm\ dd&quot;, &quot;yyyy"/>
    <numFmt numFmtId="168" formatCode="#,##0"/>
    <numFmt numFmtId="169" formatCode="General"/>
    <numFmt numFmtId="170" formatCode="&quot;$ &quot;#,##0"/>
    <numFmt numFmtId="171" formatCode="0.0%"/>
    <numFmt numFmtId="172" formatCode="0\ %"/>
    <numFmt numFmtId="173" formatCode="0.00\ %"/>
    <numFmt numFmtId="174" formatCode="_-&quot;$ &quot;* #,##0_-;&quot;-$ &quot;* #,##0_-;_-&quot;$ &quot;* \-_-;_-@_-"/>
    <numFmt numFmtId="175" formatCode="[$$-240A]\ #,##0;\-[$$-240A]\ #,##0"/>
    <numFmt numFmtId="176" formatCode="_(* #,##0_);_(* \(#,##0\);_(* \-??_);_(@_)"/>
    <numFmt numFmtId="177" formatCode="&quot;$ &quot;#,##0;[RED]&quot;-$ &quot;#,##0"/>
    <numFmt numFmtId="178" formatCode="_-&quot;$ &quot;* #,##0.00_-;&quot;-$ &quot;* #,##0.00_-;_-&quot;$ &quot;* \-_-;_-@_-"/>
  </numFmts>
  <fonts count="90">
    <font>
      <sz val="11"/>
      <color rgb="FF000000"/>
      <name val="Aptos Narrow"/>
      <family val="2"/>
    </font>
    <font>
      <sz val="10"/>
      <name val="Arial"/>
      <family val="0"/>
    </font>
    <font>
      <sz val="10"/>
      <name val="Arial"/>
      <family val="0"/>
    </font>
    <font>
      <sz val="10"/>
      <name val="Arial"/>
      <family val="0"/>
    </font>
    <font>
      <b val="true"/>
      <sz val="10"/>
      <color rgb="FFFFFFFF"/>
      <name val="Aptos Narrow"/>
      <family val="2"/>
    </font>
    <font>
      <b val="true"/>
      <sz val="10"/>
      <color rgb="FFFF0000"/>
      <name val="Aptos Narrow"/>
      <family val="2"/>
    </font>
    <font>
      <b val="true"/>
      <sz val="10"/>
      <color rgb="FFFFFFFF"/>
      <name val="Arial"/>
      <family val="2"/>
    </font>
    <font>
      <sz val="11"/>
      <color rgb="FFFFFFFF"/>
      <name val="Aptos Narrow"/>
      <family val="2"/>
    </font>
    <font>
      <sz val="10"/>
      <name val="Arial"/>
      <family val="2"/>
    </font>
    <font>
      <b val="true"/>
      <sz val="10"/>
      <name val="Arial"/>
      <family val="2"/>
    </font>
    <font>
      <sz val="10"/>
      <color rgb="FFFF0000"/>
      <name val="Arial"/>
      <family val="2"/>
    </font>
    <font>
      <sz val="10"/>
      <name val="Futura Std Book"/>
      <family val="2"/>
      <charset val="1"/>
    </font>
    <font>
      <i val="true"/>
      <sz val="10"/>
      <name val="Futura Std Book"/>
      <family val="2"/>
      <charset val="1"/>
    </font>
    <font>
      <sz val="11"/>
      <color rgb="FF000000"/>
      <name val="Century Gothic"/>
      <family val="2"/>
    </font>
    <font>
      <b val="true"/>
      <sz val="11"/>
      <color rgb="FFFFFFFF"/>
      <name val="Century Gothic"/>
      <family val="2"/>
    </font>
    <font>
      <b val="true"/>
      <sz val="11"/>
      <color rgb="FF000000"/>
      <name val="Century Gothic"/>
      <family val="2"/>
    </font>
    <font>
      <i val="true"/>
      <sz val="11"/>
      <color rgb="FF000000"/>
      <name val="Century Gothic"/>
      <family val="2"/>
    </font>
    <font>
      <b val="true"/>
      <sz val="12"/>
      <color rgb="FFFFFFFF"/>
      <name val="Century Gothic"/>
      <family val="2"/>
    </font>
    <font>
      <sz val="16"/>
      <color rgb="FF000000"/>
      <name val="Century Gothic"/>
      <family val="2"/>
    </font>
    <font>
      <sz val="16"/>
      <color rgb="FFFF0000"/>
      <name val="Century Gothic"/>
      <family val="2"/>
    </font>
    <font>
      <sz val="16"/>
      <color rgb="FFFFFFFF"/>
      <name val="Century Gothic"/>
      <family val="2"/>
    </font>
    <font>
      <b val="true"/>
      <sz val="16"/>
      <color rgb="FF000000"/>
      <name val="Century Gothic"/>
      <family val="2"/>
    </font>
    <font>
      <b val="true"/>
      <sz val="18"/>
      <color rgb="FFFFFFFF"/>
      <name val="Century Gothic"/>
      <family val="2"/>
    </font>
    <font>
      <b val="true"/>
      <sz val="20"/>
      <color rgb="FFFFFFFF"/>
      <name val="Century Gothic"/>
      <family val="2"/>
    </font>
    <font>
      <sz val="11"/>
      <color rgb="FFFFFFFF"/>
      <name val="Century Gothic"/>
      <family val="2"/>
    </font>
    <font>
      <b val="true"/>
      <sz val="16"/>
      <color rgb="FF808080"/>
      <name val="Century Gothic"/>
      <family val="2"/>
    </font>
    <font>
      <sz val="8"/>
      <color rgb="FFFFFFFF"/>
      <name val="Century Gothic"/>
      <family val="2"/>
    </font>
    <font>
      <sz val="12"/>
      <color rgb="FF000000"/>
      <name val="Century Gothic"/>
      <family val="2"/>
    </font>
    <font>
      <sz val="14"/>
      <color rgb="FF000000"/>
      <name val="Century Gothic"/>
      <family val="2"/>
    </font>
    <font>
      <b val="true"/>
      <sz val="14"/>
      <color rgb="FF000000"/>
      <name val="Century Gothic"/>
      <family val="2"/>
    </font>
    <font>
      <sz val="16"/>
      <name val="Century Gothic"/>
      <family val="2"/>
    </font>
    <font>
      <b val="true"/>
      <sz val="14"/>
      <color rgb="FF808080"/>
      <name val="Century Gothic"/>
      <family val="2"/>
    </font>
    <font>
      <b val="true"/>
      <sz val="16"/>
      <color rgb="FFFFFFFF"/>
      <name val="Century Gothic"/>
      <family val="2"/>
    </font>
    <font>
      <b val="true"/>
      <u val="single"/>
      <sz val="16"/>
      <color rgb="FF000000"/>
      <name val="Century Gothic"/>
      <family val="2"/>
    </font>
    <font>
      <sz val="18"/>
      <color rgb="FF000000"/>
      <name val="Century Gothic"/>
      <family val="2"/>
    </font>
    <font>
      <b val="true"/>
      <sz val="18"/>
      <color rgb="FF000000"/>
      <name val="Century Gothic"/>
      <family val="2"/>
    </font>
    <font>
      <b val="true"/>
      <u val="single"/>
      <sz val="18"/>
      <color rgb="FF000000"/>
      <name val="Century Gothic"/>
      <family val="2"/>
    </font>
    <font>
      <b val="true"/>
      <sz val="22"/>
      <color rgb="FFFFFFFF"/>
      <name val="Century Gothic"/>
      <family val="2"/>
    </font>
    <font>
      <b val="true"/>
      <sz val="12"/>
      <color rgb="FF000000"/>
      <name val="Century Gothic"/>
      <family val="2"/>
    </font>
    <font>
      <sz val="10"/>
      <color rgb="FF000000"/>
      <name val="Century Gothic"/>
      <family val="2"/>
    </font>
    <font>
      <b val="true"/>
      <u val="single"/>
      <sz val="12"/>
      <color rgb="FF000000"/>
      <name val="Century Gothic"/>
      <family val="2"/>
    </font>
    <font>
      <b val="true"/>
      <u val="single"/>
      <sz val="14"/>
      <color rgb="FF000000"/>
      <name val="Century Gothic"/>
      <family val="2"/>
    </font>
    <font>
      <b val="true"/>
      <sz val="10"/>
      <color rgb="FF000000"/>
      <name val="Century Gothic"/>
      <family val="2"/>
    </font>
    <font>
      <sz val="18"/>
      <name val="Century Gothic"/>
      <family val="2"/>
    </font>
    <font>
      <b val="true"/>
      <sz val="18"/>
      <name val="Century Gothic"/>
      <family val="2"/>
    </font>
    <font>
      <sz val="20"/>
      <color rgb="FF000000"/>
      <name val="Century Gothic"/>
      <family val="2"/>
    </font>
    <font>
      <b val="true"/>
      <sz val="16"/>
      <color rgb="FF000000"/>
      <name val="Century Gothic"/>
      <family val="1"/>
    </font>
    <font>
      <sz val="12"/>
      <name val="Century Gothic"/>
      <family val="2"/>
    </font>
    <font>
      <sz val="14"/>
      <color rgb="FF000000"/>
      <name val="Century Gothic"/>
      <family val="1"/>
    </font>
    <font>
      <sz val="16"/>
      <color rgb="FF000000"/>
      <name val="Century Gothic"/>
      <family val="1"/>
    </font>
    <font>
      <b val="true"/>
      <sz val="20"/>
      <color rgb="FF000000"/>
      <name val="Century Gothic"/>
      <family val="2"/>
    </font>
    <font>
      <sz val="9"/>
      <color rgb="FF000000"/>
      <name val="Century Gothic"/>
      <family val="2"/>
    </font>
    <font>
      <sz val="8"/>
      <color rgb="FF000000"/>
      <name val="Century Gothic"/>
      <family val="2"/>
    </font>
    <font>
      <sz val="11"/>
      <color rgb="FFFF0000"/>
      <name val="Century Gothic"/>
      <family val="2"/>
    </font>
    <font>
      <sz val="14"/>
      <name val="Century Gothic"/>
      <family val="2"/>
    </font>
    <font>
      <sz val="11"/>
      <name val="Aptos Narrow"/>
      <family val="2"/>
    </font>
    <font>
      <b val="true"/>
      <sz val="11"/>
      <color rgb="FF000000"/>
      <name val="Work Sans"/>
      <family val="0"/>
    </font>
    <font>
      <sz val="11"/>
      <color rgb="FF000000"/>
      <name val="Work Sans"/>
      <family val="0"/>
    </font>
    <font>
      <sz val="18"/>
      <color rgb="FF003366"/>
      <name val="Century Gothic"/>
      <family val="0"/>
    </font>
    <font>
      <b val="true"/>
      <u val="single"/>
      <sz val="18"/>
      <color rgb="FF003366"/>
      <name val="Century Gothic"/>
      <family val="0"/>
    </font>
    <font>
      <sz val="14"/>
      <color rgb="FF000000"/>
      <name val="Century Gothic"/>
      <family val="0"/>
    </font>
    <font>
      <sz val="14.5"/>
      <color rgb="FF000000"/>
      <name val="Century Gothic"/>
      <family val="0"/>
    </font>
    <font>
      <sz val="9"/>
      <color rgb="FF000000"/>
      <name val="Century Gothic"/>
      <family val="0"/>
    </font>
    <font>
      <b val="true"/>
      <sz val="14"/>
      <color rgb="FF000000"/>
      <name val="Century Gothic"/>
      <family val="0"/>
    </font>
    <font>
      <sz val="11"/>
      <color rgb="FF000000"/>
      <name val="Century Gothic"/>
      <family val="0"/>
    </font>
    <font>
      <sz val="10"/>
      <color rgb="FF000000"/>
      <name val="Century Gothic"/>
      <family val="0"/>
    </font>
    <font>
      <b val="true"/>
      <sz val="10"/>
      <color rgb="FF000000"/>
      <name val="Century Gothic"/>
      <family val="0"/>
    </font>
    <font>
      <sz val="11"/>
      <color rgb="FF000000"/>
      <name val="Aptos Narrow"/>
      <family val="0"/>
    </font>
    <font>
      <sz val="14"/>
      <color rgb="FF000000"/>
      <name val="Aptos Narrow"/>
      <family val="0"/>
    </font>
    <font>
      <b val="true"/>
      <sz val="11"/>
      <color rgb="FFFFFFFF"/>
      <name val="Work Sans"/>
      <family val="0"/>
    </font>
    <font>
      <sz val="11"/>
      <name val="Work Sans"/>
      <family val="0"/>
    </font>
    <font>
      <sz val="11"/>
      <name val="Century Gothic"/>
      <family val="2"/>
    </font>
    <font>
      <b val="true"/>
      <sz val="20"/>
      <name val="Century Gothic"/>
      <family val="2"/>
    </font>
    <font>
      <b val="true"/>
      <sz val="20"/>
      <color rgb="FF003366"/>
      <name val="Century Gothic"/>
      <family val="2"/>
    </font>
    <font>
      <sz val="20"/>
      <color rgb="FF003366"/>
      <name val="Century Gothic"/>
      <family val="2"/>
    </font>
    <font>
      <u val="single"/>
      <sz val="11"/>
      <color rgb="FF33CCCC"/>
      <name val="Aptos Narrow"/>
      <family val="2"/>
    </font>
    <font>
      <b val="true"/>
      <sz val="11"/>
      <name val="Century Gothic"/>
      <family val="2"/>
    </font>
    <font>
      <b val="true"/>
      <sz val="16"/>
      <name val="Century Gothic"/>
      <family val="2"/>
    </font>
    <font>
      <b val="true"/>
      <sz val="12"/>
      <name val="Century Gothic"/>
      <family val="2"/>
    </font>
    <font>
      <b val="true"/>
      <sz val="16"/>
      <color rgb="FFFF0000"/>
      <name val="Century Gothic"/>
      <family val="2"/>
    </font>
    <font>
      <b val="true"/>
      <sz val="20"/>
      <color rgb="FFFF0000"/>
      <name val="Century Gothic"/>
      <family val="2"/>
    </font>
    <font>
      <b val="true"/>
      <sz val="14"/>
      <color rgb="FFFFFFFF"/>
      <name val="Century Gothic"/>
      <family val="2"/>
    </font>
    <font>
      <sz val="14"/>
      <color rgb="FF003366"/>
      <name val="Century Gothic"/>
      <family val="2"/>
    </font>
    <font>
      <sz val="12"/>
      <color rgb="FF003366"/>
      <name val="Century Gothic"/>
      <family val="2"/>
    </font>
    <font>
      <b val="true"/>
      <sz val="14"/>
      <color rgb="FF003366"/>
      <name val="Century Gothic"/>
      <family val="2"/>
    </font>
    <font>
      <b val="true"/>
      <sz val="12"/>
      <color rgb="FF003366"/>
      <name val="Century Gothic"/>
      <family val="2"/>
    </font>
    <font>
      <sz val="14"/>
      <color rgb="FFFFFFFF"/>
      <name val="Century Gothic"/>
      <family val="2"/>
    </font>
    <font>
      <b val="true"/>
      <sz val="12"/>
      <color rgb="FF993366"/>
      <name val="Century Gothic"/>
      <family val="2"/>
    </font>
    <font>
      <b val="true"/>
      <sz val="18"/>
      <color rgb="FF003366"/>
      <name val="Century Gothic"/>
      <family val="2"/>
    </font>
    <font>
      <b val="true"/>
      <sz val="20"/>
      <color rgb="FFFFFFFF"/>
      <name val="Century Gothic"/>
      <family val="0"/>
    </font>
  </fonts>
  <fills count="14">
    <fill>
      <patternFill patternType="none"/>
    </fill>
    <fill>
      <patternFill patternType="gray125"/>
    </fill>
    <fill>
      <patternFill patternType="solid">
        <fgColor rgb="FF99CC00"/>
        <bgColor rgb="FFFFCC00"/>
      </patternFill>
    </fill>
    <fill>
      <patternFill patternType="solid">
        <fgColor rgb="FF008000"/>
        <bgColor rgb="FF008080"/>
      </patternFill>
    </fill>
    <fill>
      <patternFill patternType="solid">
        <fgColor rgb="FFFFFFFF"/>
        <bgColor rgb="FFFFFFCC"/>
      </patternFill>
    </fill>
    <fill>
      <patternFill patternType="solid">
        <fgColor rgb="FFFFFF00"/>
        <bgColor rgb="FFFFFF00"/>
      </patternFill>
    </fill>
    <fill>
      <patternFill patternType="solid">
        <fgColor rgb="FFFF0000"/>
        <bgColor rgb="FF993300"/>
      </patternFill>
    </fill>
    <fill>
      <patternFill patternType="solid">
        <fgColor rgb="FF00CCFF"/>
        <bgColor rgb="FF33CCCC"/>
      </patternFill>
    </fill>
    <fill>
      <patternFill patternType="solid">
        <fgColor rgb="FF003366"/>
        <bgColor rgb="FF333399"/>
      </patternFill>
    </fill>
    <fill>
      <patternFill patternType="solid">
        <fgColor rgb="FF339966"/>
        <bgColor rgb="FF008080"/>
      </patternFill>
    </fill>
    <fill>
      <patternFill patternType="solid">
        <fgColor rgb="FFC0C0C0"/>
        <bgColor rgb="FFCCCCFF"/>
      </patternFill>
    </fill>
    <fill>
      <patternFill patternType="solid">
        <fgColor rgb="FF333399"/>
        <bgColor rgb="FF003366"/>
      </patternFill>
    </fill>
    <fill>
      <patternFill patternType="solid">
        <fgColor rgb="FF969696"/>
        <bgColor rgb="FF808080"/>
      </patternFill>
    </fill>
    <fill>
      <patternFill patternType="solid">
        <fgColor rgb="FF99CCFF"/>
        <bgColor rgb="FFCCCCFF"/>
      </patternFill>
    </fill>
  </fills>
  <borders count="30">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008000"/>
      </left>
      <right style="thin">
        <color rgb="FF008000"/>
      </right>
      <top style="thin">
        <color rgb="FF008000"/>
      </top>
      <bottom style="thin">
        <color rgb="FF008000"/>
      </bottom>
      <diagonal/>
    </border>
    <border diagonalUp="false" diagonalDown="false">
      <left style="thin">
        <color rgb="FF008000"/>
      </left>
      <right style="thin">
        <color rgb="FF008000"/>
      </right>
      <top style="thin">
        <color rgb="FF008000"/>
      </top>
      <bottom/>
      <diagonal/>
    </border>
    <border diagonalUp="false" diagonalDown="false">
      <left style="thin">
        <color rgb="FF008000"/>
      </left>
      <right/>
      <top style="thin">
        <color rgb="FF008000"/>
      </top>
      <bottom style="thin">
        <color rgb="FF008000"/>
      </bottom>
      <diagonal/>
    </border>
    <border diagonalUp="false" diagonalDown="false">
      <left/>
      <right style="thin">
        <color rgb="FF008000"/>
      </right>
      <top style="thin">
        <color rgb="FF008000"/>
      </top>
      <bottom style="thin">
        <color rgb="FF008000"/>
      </bottom>
      <diagonal/>
    </border>
    <border diagonalUp="false" diagonalDown="false">
      <left style="hair"/>
      <right style="thin"/>
      <top style="hair"/>
      <bottom style="hair"/>
      <diagonal/>
    </border>
    <border diagonalUp="false" diagonalDown="false">
      <left style="hair"/>
      <right style="thin"/>
      <top style="hair"/>
      <bottom style="thin"/>
      <diagonal/>
    </border>
    <border diagonalUp="false" diagonalDown="false">
      <left/>
      <right/>
      <top/>
      <bottom style="thin"/>
      <diagonal/>
    </border>
    <border diagonalUp="false" diagonalDown="false">
      <left style="thin">
        <color rgb="FF99CC00"/>
      </left>
      <right style="thin">
        <color rgb="FF99CC00"/>
      </right>
      <top style="thin">
        <color rgb="FF99CC00"/>
      </top>
      <bottom style="thin">
        <color rgb="FF99CC00"/>
      </bottom>
      <diagonal/>
    </border>
    <border diagonalUp="false" diagonalDown="false">
      <left style="thin">
        <color rgb="FF008000"/>
      </left>
      <right style="thin">
        <color rgb="FF008000"/>
      </right>
      <top/>
      <bottom/>
      <diagonal/>
    </border>
    <border diagonalUp="false" diagonalDown="false">
      <left style="thin">
        <color rgb="FF00FF00"/>
      </left>
      <right style="thin">
        <color rgb="FF00FF00"/>
      </right>
      <top style="thin">
        <color rgb="FF00FF00"/>
      </top>
      <bottom style="thin">
        <color rgb="FF00FF00"/>
      </bottom>
      <diagonal/>
    </border>
    <border diagonalUp="false" diagonalDown="false">
      <left/>
      <right/>
      <top/>
      <bottom style="thin">
        <color rgb="FF008000"/>
      </bottom>
      <diagonal/>
    </border>
    <border diagonalUp="false" diagonalDown="false">
      <left/>
      <right/>
      <top style="thin">
        <color rgb="FF008000"/>
      </top>
      <bottom style="thin">
        <color rgb="FF008000"/>
      </bottom>
      <diagonal/>
    </border>
    <border diagonalUp="false" diagonalDown="false">
      <left style="thin">
        <color rgb="FF008000"/>
      </left>
      <right/>
      <top/>
      <bottom/>
      <diagonal/>
    </border>
    <border diagonalUp="false" diagonalDown="false">
      <left style="thin">
        <color rgb="FF008000"/>
      </left>
      <right style="thin">
        <color rgb="FF008000"/>
      </right>
      <top/>
      <bottom style="thin">
        <color rgb="FF008000"/>
      </bottom>
      <diagonal/>
    </border>
    <border diagonalUp="false" diagonalDown="false">
      <left style="thin">
        <color rgb="FF339966"/>
      </left>
      <right style="thin">
        <color rgb="FF339966"/>
      </right>
      <top style="thin">
        <color rgb="FF339966"/>
      </top>
      <bottom style="thin">
        <color rgb="FF339966"/>
      </bottom>
      <diagonal/>
    </border>
    <border diagonalUp="false" diagonalDown="false">
      <left/>
      <right style="thin">
        <color rgb="FF339966"/>
      </right>
      <top style="thin">
        <color rgb="FF339966"/>
      </top>
      <bottom style="thin">
        <color rgb="FF339966"/>
      </bottom>
      <diagonal/>
    </border>
    <border diagonalUp="false" diagonalDown="false">
      <left style="thin">
        <color rgb="FF008000"/>
      </left>
      <right style="thin"/>
      <top style="thin">
        <color rgb="FF008000"/>
      </top>
      <bottom style="thin">
        <color rgb="FF008000"/>
      </bottom>
      <diagonal/>
    </border>
    <border diagonalUp="false" diagonalDown="false">
      <left style="thin"/>
      <right style="thin">
        <color rgb="FF008000"/>
      </right>
      <top style="thin">
        <color rgb="FF008000"/>
      </top>
      <bottom style="thin">
        <color rgb="FF008000"/>
      </bottom>
      <diagonal/>
    </border>
    <border diagonalUp="false" diagonalDown="false">
      <left style="thin">
        <color rgb="FF339966"/>
      </left>
      <right style="thin">
        <color rgb="FF339966"/>
      </right>
      <top style="thin">
        <color rgb="FF339966"/>
      </top>
      <bottom style="thin">
        <color rgb="FF008000"/>
      </bottom>
      <diagonal/>
    </border>
    <border diagonalUp="false" diagonalDown="false">
      <left style="thin">
        <color rgb="FF339966"/>
      </left>
      <right style="thin">
        <color rgb="FF339966"/>
      </right>
      <top style="thin">
        <color rgb="FF008000"/>
      </top>
      <bottom style="thin">
        <color rgb="FF339966"/>
      </bottom>
      <diagonal/>
    </border>
    <border diagonalUp="false" diagonalDown="false">
      <left style="thin">
        <color rgb="FF339966"/>
      </left>
      <right/>
      <top/>
      <bottom/>
      <diagonal/>
    </border>
    <border diagonalUp="false" diagonalDown="false">
      <left/>
      <right style="thin">
        <color rgb="FF008000"/>
      </right>
      <top style="thin">
        <color rgb="FF008000"/>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color rgb="FF993366"/>
      </top>
      <bottom/>
      <diagonal/>
    </border>
    <border diagonalUp="false" diagonalDown="false">
      <left/>
      <right/>
      <top style="thin">
        <color rgb="FF993366"/>
      </top>
      <bottom style="thin">
        <color rgb="FF993366"/>
      </bottom>
      <diagonal/>
    </border>
    <border diagonalUp="false" diagonalDown="false">
      <left style="medium"/>
      <right style="medium"/>
      <top style="medium"/>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174" fontId="0" fillId="0" borderId="0" applyFont="true" applyBorder="false" applyAlignment="false" applyProtection="false"/>
    <xf numFmtId="172" fontId="0" fillId="0" borderId="0" applyFont="true" applyBorder="false" applyAlignment="false" applyProtection="false"/>
    <xf numFmtId="164" fontId="75" fillId="0" borderId="0" applyFont="true" applyBorder="false" applyAlignment="false" applyProtection="false"/>
    <xf numFmtId="165" fontId="0"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4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6" fillId="3" borderId="4"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8" fillId="0" borderId="3" xfId="0" applyFont="true" applyBorder="true" applyAlignment="true" applyProtection="false">
      <alignment horizontal="left" vertical="center" textRotation="0" wrapText="true" indent="0" shrinkToFit="false"/>
      <protection locked="true" hidden="false"/>
    </xf>
    <xf numFmtId="164" fontId="8" fillId="4" borderId="6" xfId="0" applyFont="true" applyBorder="true" applyAlignment="true" applyProtection="false">
      <alignment horizontal="left" vertical="center" textRotation="0" wrapText="true" indent="0" shrinkToFit="false"/>
      <protection locked="true" hidden="false"/>
    </xf>
    <xf numFmtId="164" fontId="8" fillId="4" borderId="5" xfId="0" applyFont="true" applyBorder="tru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4" fontId="8" fillId="5" borderId="0" xfId="0" applyFont="true" applyBorder="false" applyAlignment="true" applyProtection="false">
      <alignment horizontal="left" vertical="center" textRotation="0" wrapText="true" indent="0" shrinkToFit="false"/>
      <protection locked="true" hidden="false"/>
    </xf>
    <xf numFmtId="164" fontId="11" fillId="0" borderId="7"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1" fillId="0" borderId="8"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8" fillId="6" borderId="5" xfId="0" applyFont="true" applyBorder="true" applyAlignment="true" applyProtection="false">
      <alignment horizontal="left" vertical="center"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8" fillId="7" borderId="3" xfId="0" applyFont="true" applyBorder="true" applyAlignment="true" applyProtection="false">
      <alignment horizontal="left" vertical="center" textRotation="0" wrapText="true" indent="0" shrinkToFit="false"/>
      <protection locked="true" hidden="false"/>
    </xf>
    <xf numFmtId="164" fontId="8" fillId="7" borderId="4"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4" fillId="8"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4" fillId="9" borderId="0" xfId="0" applyFont="true" applyBorder="true" applyAlignment="true" applyProtection="false">
      <alignment horizontal="center" vertical="bottom" textRotation="0" wrapText="false" indent="0" shrinkToFit="false"/>
      <protection locked="true" hidden="false"/>
    </xf>
    <xf numFmtId="164" fontId="14" fillId="8" borderId="0" xfId="0" applyFont="true" applyBorder="true" applyAlignment="true" applyProtection="false">
      <alignment horizontal="center" vertical="top" textRotation="0" wrapText="false" indent="0" shrinkToFit="false"/>
      <protection locked="true" hidden="false"/>
    </xf>
    <xf numFmtId="164" fontId="14" fillId="8" borderId="0" xfId="0" applyFont="true" applyBorder="true" applyAlignment="true" applyProtection="false">
      <alignment horizontal="center" vertical="bottom" textRotation="0" wrapText="true" indent="0" shrinkToFit="false"/>
      <protection locked="true" hidden="false"/>
    </xf>
    <xf numFmtId="164" fontId="17" fillId="8" borderId="0" xfId="0" applyFont="true" applyBorder="true" applyAlignment="true" applyProtection="false">
      <alignment horizontal="center"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22" fillId="8" borderId="0" xfId="0" applyFont="true" applyBorder="true" applyAlignment="true" applyProtection="false">
      <alignment horizontal="left" vertical="bottom" textRotation="0" wrapText="false" indent="0" shrinkToFit="false"/>
      <protection locked="true" hidden="false"/>
    </xf>
    <xf numFmtId="166" fontId="18" fillId="4" borderId="0" xfId="0" applyFont="true" applyBorder="true" applyAlignment="true" applyProtection="false">
      <alignment horizontal="center" vertical="bottom" textRotation="0" wrapText="false" indent="0" shrinkToFit="false"/>
      <protection locked="true" hidden="false"/>
    </xf>
    <xf numFmtId="164" fontId="18" fillId="4" borderId="0" xfId="0" applyFont="true" applyBorder="true" applyAlignment="true" applyProtection="false">
      <alignment horizontal="center" vertical="bottom" textRotation="0" wrapText="false" indent="0" shrinkToFit="false"/>
      <protection locked="true" hidden="false"/>
    </xf>
    <xf numFmtId="167" fontId="18" fillId="4" borderId="0" xfId="0" applyFont="true" applyBorder="true" applyAlignment="true" applyProtection="false">
      <alignment horizontal="center" vertical="bottom" textRotation="0" wrapText="false" indent="0" shrinkToFit="false"/>
      <protection locked="true" hidden="false"/>
    </xf>
    <xf numFmtId="164" fontId="23" fillId="8" borderId="0"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4" borderId="0" xfId="0" applyFont="true" applyBorder="true" applyAlignment="true" applyProtection="false">
      <alignment horizontal="center" vertical="center" textRotation="0" wrapText="true" indent="0" shrinkToFit="false"/>
      <protection locked="true" hidden="false"/>
    </xf>
    <xf numFmtId="164" fontId="25" fillId="4" borderId="0" xfId="0" applyFont="true" applyBorder="false" applyAlignment="true" applyProtection="false">
      <alignment horizontal="general" vertical="center" textRotation="0" wrapText="true" indent="0" shrinkToFit="false"/>
      <protection locked="true" hidden="false"/>
    </xf>
    <xf numFmtId="164" fontId="18" fillId="4" borderId="9" xfId="0" applyFont="true" applyBorder="true" applyAlignment="true" applyProtection="false">
      <alignment horizontal="center" vertical="bottom" textRotation="0" wrapText="false" indent="0" shrinkToFit="false"/>
      <protection locked="true" hidden="false"/>
    </xf>
    <xf numFmtId="164" fontId="18" fillId="4" borderId="9" xfId="0" applyFont="true" applyBorder="true" applyAlignment="true" applyProtection="false">
      <alignment horizontal="center" vertical="bottom" textRotation="0" wrapText="true" indent="0" shrinkToFit="false"/>
      <protection locked="true" hidden="false"/>
    </xf>
    <xf numFmtId="168" fontId="18" fillId="4" borderId="9"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4" borderId="9" xfId="0" applyFont="true" applyBorder="true" applyAlignment="true" applyProtection="false">
      <alignment horizontal="center" vertical="bottom" textRotation="0" wrapText="true" indent="0" shrinkToFit="false"/>
      <protection locked="true" hidden="false"/>
    </xf>
    <xf numFmtId="164" fontId="28" fillId="0" borderId="10" xfId="0" applyFont="true" applyBorder="true" applyAlignment="true" applyProtection="false">
      <alignment horizontal="left" vertical="bottom" textRotation="0" wrapText="true" indent="0" shrinkToFit="false"/>
      <protection locked="true" hidden="false"/>
    </xf>
    <xf numFmtId="164" fontId="28" fillId="0" borderId="0" xfId="0" applyFont="true" applyBorder="true" applyAlignment="true" applyProtection="false">
      <alignment horizontal="left" vertical="bottom" textRotation="0" wrapText="true" indent="0" shrinkToFit="false"/>
      <protection locked="true" hidden="false"/>
    </xf>
    <xf numFmtId="164" fontId="18" fillId="4" borderId="9" xfId="0" applyFont="true" applyBorder="true" applyAlignment="true" applyProtection="false">
      <alignment horizontal="center" vertical="center" textRotation="0" wrapText="true" indent="0" shrinkToFit="false"/>
      <protection locked="true" hidden="false"/>
    </xf>
    <xf numFmtId="164" fontId="25" fillId="10" borderId="0" xfId="0" applyFont="true" applyBorder="true" applyAlignment="true" applyProtection="false">
      <alignment horizontal="center" vertical="center" textRotation="0" wrapText="true" indent="0" shrinkToFit="false"/>
      <protection locked="true" hidden="false"/>
    </xf>
    <xf numFmtId="164" fontId="30" fillId="4" borderId="9" xfId="0" applyFont="true" applyBorder="true" applyAlignment="true" applyProtection="false">
      <alignment horizontal="center" vertical="center" textRotation="0" wrapText="true" indent="0" shrinkToFit="false"/>
      <protection locked="true" hidden="false"/>
    </xf>
    <xf numFmtId="164" fontId="31" fillId="10" borderId="0" xfId="0" applyFont="true" applyBorder="true" applyAlignment="true" applyProtection="false">
      <alignment horizontal="center" vertical="center" textRotation="0" wrapText="true" indent="0" shrinkToFit="false"/>
      <protection locked="true" hidden="false"/>
    </xf>
    <xf numFmtId="169" fontId="32" fillId="8" borderId="9" xfId="0" applyFont="true" applyBorder="true" applyAlignment="true" applyProtection="true">
      <alignment horizontal="center" vertical="bottom" textRotation="0" wrapText="false" indent="0" shrinkToFit="false"/>
      <protection locked="true" hidden="true"/>
    </xf>
    <xf numFmtId="164" fontId="18" fillId="0" borderId="0" xfId="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general" vertical="bottom" textRotation="0" wrapText="true" indent="0" shrinkToFit="false"/>
      <protection locked="true" hidden="false"/>
    </xf>
    <xf numFmtId="164" fontId="34" fillId="0" borderId="0" xfId="0" applyFont="true" applyBorder="true" applyAlignment="true" applyProtection="false">
      <alignment horizontal="left" vertical="bottom" textRotation="0" wrapText="tru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left" vertical="top" textRotation="0" wrapText="true" indent="0" shrinkToFit="false"/>
      <protection locked="true" hidden="false"/>
    </xf>
    <xf numFmtId="164" fontId="34" fillId="0" borderId="0" xfId="0" applyFont="true" applyBorder="false" applyAlignment="true" applyProtection="false">
      <alignment horizontal="left" vertical="top" textRotation="0" wrapText="true" indent="0" shrinkToFit="false"/>
      <protection locked="true" hidden="false"/>
    </xf>
    <xf numFmtId="164" fontId="37" fillId="3" borderId="0"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center" vertical="center"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4" fontId="20" fillId="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true" indent="0" shrinkToFit="false"/>
      <protection locked="true" hidden="false"/>
    </xf>
    <xf numFmtId="164" fontId="38" fillId="0" borderId="3" xfId="0" applyFont="true" applyBorder="tru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34" fillId="0" borderId="3" xfId="0" applyFont="true" applyBorder="true" applyAlignment="true" applyProtection="false">
      <alignment horizontal="center" vertical="bottom" textRotation="0" wrapText="false" indent="0" shrinkToFit="false"/>
      <protection locked="true" hidden="false"/>
    </xf>
    <xf numFmtId="164" fontId="27" fillId="10" borderId="4" xfId="0" applyFont="true" applyBorder="true" applyAlignment="true" applyProtection="false">
      <alignment horizontal="left" vertical="top" textRotation="0" wrapText="true" indent="0" shrinkToFit="false"/>
      <protection locked="true" hidden="false"/>
    </xf>
    <xf numFmtId="164" fontId="27" fillId="10" borderId="11" xfId="0" applyFont="true" applyBorder="tru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center" vertical="bottom" textRotation="0" wrapText="true" indent="0" shrinkToFit="false"/>
      <protection locked="true" hidden="false"/>
    </xf>
    <xf numFmtId="164" fontId="37" fillId="8" borderId="0" xfId="0" applyFont="true" applyBorder="true" applyAlignment="true" applyProtection="false">
      <alignment horizontal="center" vertical="center" textRotation="0" wrapText="false" indent="0" shrinkToFit="false"/>
      <protection locked="true" hidden="false"/>
    </xf>
    <xf numFmtId="164" fontId="28" fillId="10" borderId="3" xfId="0" applyFont="true" applyBorder="true" applyAlignment="true" applyProtection="false">
      <alignment horizontal="left" vertical="top" textRotation="0" wrapText="true" indent="0" shrinkToFit="false"/>
      <protection locked="true" hidden="false"/>
    </xf>
    <xf numFmtId="164" fontId="34" fillId="0" borderId="5" xfId="0" applyFont="tru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true" applyProtection="false">
      <alignment horizontal="center" vertical="center" textRotation="0" wrapText="true" indent="0" shrinkToFit="false"/>
      <protection locked="true" hidden="false"/>
    </xf>
    <xf numFmtId="164" fontId="34" fillId="0" borderId="6" xfId="0" applyFont="true" applyBorder="true" applyAlignment="true" applyProtection="false">
      <alignment horizontal="center" vertical="center" textRotation="0" wrapText="true" indent="0" shrinkToFit="false"/>
      <protection locked="true" hidden="false"/>
    </xf>
    <xf numFmtId="164" fontId="28" fillId="0" borderId="3" xfId="0" applyFont="true" applyBorder="true" applyAlignment="true" applyProtection="false">
      <alignment horizontal="center" vertical="center" textRotation="0" wrapText="true" indent="0" shrinkToFit="false"/>
      <protection locked="true" hidden="false"/>
    </xf>
    <xf numFmtId="164" fontId="27" fillId="10" borderId="5" xfId="0" applyFont="true" applyBorder="true" applyAlignment="true" applyProtection="false">
      <alignment horizontal="left" vertical="top" textRotation="0" wrapText="true" indent="0" shrinkToFit="false"/>
      <protection locked="true" hidden="false"/>
    </xf>
    <xf numFmtId="164" fontId="27" fillId="10" borderId="3" xfId="0" applyFont="true" applyBorder="true" applyAlignment="true" applyProtection="false">
      <alignment horizontal="left" vertical="top" textRotation="0" wrapText="true" indent="0" shrinkToFit="false"/>
      <protection locked="true" hidden="false"/>
    </xf>
    <xf numFmtId="164" fontId="27" fillId="10" borderId="6" xfId="0" applyFont="true" applyBorder="true" applyAlignment="true" applyProtection="false">
      <alignment horizontal="left" vertical="top" textRotation="0" wrapText="true" indent="0" shrinkToFit="false"/>
      <protection locked="true" hidden="false"/>
    </xf>
    <xf numFmtId="170" fontId="28" fillId="10" borderId="3" xfId="0" applyFont="true" applyBorder="true" applyAlignment="true" applyProtection="false">
      <alignment horizontal="center" vertical="top" textRotation="0" wrapText="false" indent="0" shrinkToFit="false"/>
      <protection locked="true" hidden="false"/>
    </xf>
    <xf numFmtId="164" fontId="21" fillId="0" borderId="0" xfId="0" applyFont="true" applyBorder="true" applyAlignment="true" applyProtection="false">
      <alignment horizontal="left" vertical="bottom" textRotation="0" wrapText="true" indent="0" shrinkToFit="false"/>
      <protection locked="true" hidden="false"/>
    </xf>
    <xf numFmtId="164" fontId="27" fillId="10" borderId="12"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27" fillId="10" borderId="13" xfId="0" applyFont="true" applyBorder="true" applyAlignment="true" applyProtection="false">
      <alignment horizontal="left" vertical="top" textRotation="0" wrapText="true" indent="0" shrinkToFit="false"/>
      <protection locked="true" hidden="false"/>
    </xf>
    <xf numFmtId="164" fontId="27" fillId="10" borderId="13" xfId="0" applyFont="true" applyBorder="true" applyAlignment="true" applyProtection="false">
      <alignment horizontal="left" vertical="bottom" textRotation="0" wrapText="true" indent="0" shrinkToFit="false"/>
      <protection locked="true" hidden="false"/>
    </xf>
    <xf numFmtId="164" fontId="18" fillId="0" borderId="0" xfId="0" applyFont="true" applyBorder="true" applyAlignment="true" applyProtection="false">
      <alignment horizontal="left" vertical="bottom" textRotation="0" wrapText="false" indent="0" shrinkToFit="false"/>
      <protection locked="true" hidden="false"/>
    </xf>
    <xf numFmtId="164" fontId="27" fillId="10" borderId="14" xfId="0" applyFont="true" applyBorder="true" applyAlignment="true" applyProtection="false">
      <alignment horizontal="left" vertical="top" textRotation="0" wrapText="true" indent="0" shrinkToFit="false"/>
      <protection locked="true" hidden="false"/>
    </xf>
    <xf numFmtId="164" fontId="18" fillId="0" borderId="3" xfId="0" applyFont="true" applyBorder="true" applyAlignment="true" applyProtection="false">
      <alignment horizontal="center" vertical="bottom" textRotation="0" wrapText="true" indent="0" shrinkToFit="false"/>
      <protection locked="true" hidden="false"/>
    </xf>
    <xf numFmtId="164" fontId="27" fillId="0" borderId="3"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27" fillId="10" borderId="3" xfId="0" applyFont="true" applyBorder="true" applyAlignment="true" applyProtection="false">
      <alignment horizontal="general" vertical="top" textRotation="0" wrapText="true" indent="0" shrinkToFit="false"/>
      <protection locked="true" hidden="false"/>
    </xf>
    <xf numFmtId="164" fontId="27" fillId="10" borderId="3" xfId="0" applyFont="true" applyBorder="true" applyAlignment="true" applyProtection="false">
      <alignment horizontal="center" vertical="top"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9" fontId="35" fillId="0" borderId="4" xfId="0" applyFont="true" applyBorder="true" applyAlignment="true" applyProtection="false">
      <alignment horizontal="center" vertical="center" textRotation="0" wrapText="false" indent="0" shrinkToFit="false"/>
      <protection locked="true" hidden="false"/>
    </xf>
    <xf numFmtId="164" fontId="34" fillId="0" borderId="3" xfId="0" applyFont="true" applyBorder="true" applyAlignment="true" applyProtection="false">
      <alignment horizontal="center" vertical="bottom" textRotation="0" wrapText="true" indent="0" shrinkToFit="false"/>
      <protection locked="true" hidden="false"/>
    </xf>
    <xf numFmtId="164" fontId="39" fillId="10" borderId="3" xfId="0" applyFont="true" applyBorder="true" applyAlignment="true" applyProtection="false">
      <alignment horizontal="left" vertical="bottom" textRotation="0" wrapText="true" indent="0" shrinkToFit="false"/>
      <protection locked="true" hidden="false"/>
    </xf>
    <xf numFmtId="164" fontId="27" fillId="10" borderId="3" xfId="0" applyFont="true" applyBorder="true" applyAlignment="true" applyProtection="false">
      <alignment horizontal="left" vertical="bottom" textRotation="0" wrapText="true" indent="0" shrinkToFit="false"/>
      <protection locked="true" hidden="false"/>
    </xf>
    <xf numFmtId="164" fontId="27" fillId="10" borderId="3" xfId="0" applyFont="true" applyBorder="true" applyAlignment="true" applyProtection="true">
      <alignment horizontal="left" vertical="bottom" textRotation="0" wrapText="true" indent="0" shrinkToFit="false"/>
      <protection locked="false" hidden="false"/>
    </xf>
    <xf numFmtId="164" fontId="21" fillId="4" borderId="3" xfId="0" applyFont="true" applyBorder="true" applyAlignment="true" applyProtection="false">
      <alignment horizontal="center" vertical="bottom" textRotation="0" wrapText="true" indent="0" shrinkToFit="false"/>
      <protection locked="true" hidden="false"/>
    </xf>
    <xf numFmtId="164" fontId="28" fillId="4" borderId="3" xfId="0" applyFont="true" applyBorder="true" applyAlignment="true" applyProtection="false">
      <alignment horizontal="center" vertical="bottom" textRotation="0" wrapText="false" indent="0" shrinkToFit="false"/>
      <protection locked="true" hidden="false"/>
    </xf>
    <xf numFmtId="164" fontId="28" fillId="4" borderId="3" xfId="0" applyFont="true" applyBorder="true" applyAlignment="true" applyProtection="false">
      <alignment horizontal="center" vertical="bottom" textRotation="0" wrapText="true" indent="0" shrinkToFit="false"/>
      <protection locked="true" hidden="false"/>
    </xf>
    <xf numFmtId="164" fontId="18" fillId="10" borderId="3" xfId="0" applyFont="true" applyBorder="true" applyAlignment="true" applyProtection="false">
      <alignment horizontal="center" vertical="bottom" textRotation="0" wrapText="false" indent="0" shrinkToFit="false"/>
      <protection locked="true" hidden="false"/>
    </xf>
    <xf numFmtId="164" fontId="18" fillId="10" borderId="3" xfId="0" applyFont="true" applyBorder="true" applyAlignment="true" applyProtection="false">
      <alignment horizontal="center" vertical="bottom" textRotation="0" wrapText="true" indent="0" shrinkToFit="false"/>
      <protection locked="true" hidden="false"/>
    </xf>
    <xf numFmtId="168" fontId="18" fillId="4" borderId="3" xfId="0" applyFont="true" applyBorder="true" applyAlignment="true" applyProtection="true">
      <alignment horizontal="center" vertical="bottom" textRotation="0" wrapText="false" indent="0" shrinkToFit="false"/>
      <protection locked="true" hidden="true"/>
    </xf>
    <xf numFmtId="164" fontId="34" fillId="0" borderId="0" xfId="0" applyFont="true" applyBorder="true" applyAlignment="true" applyProtection="false">
      <alignment horizontal="left" vertical="bottom" textRotation="0" wrapText="false" indent="0" shrinkToFit="false"/>
      <protection locked="true" hidden="false"/>
    </xf>
    <xf numFmtId="164" fontId="28" fillId="0" borderId="3" xfId="0" applyFont="true" applyBorder="true" applyAlignment="true" applyProtection="false">
      <alignment horizontal="center" vertical="bottom" textRotation="0" wrapText="true" indent="0" shrinkToFit="false"/>
      <protection locked="true" hidden="false"/>
    </xf>
    <xf numFmtId="164" fontId="34" fillId="0" borderId="0" xfId="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21" fillId="0" borderId="3" xfId="0" applyFont="true" applyBorder="true" applyAlignment="true" applyProtection="false">
      <alignment horizontal="left" vertical="center" textRotation="0" wrapText="false" indent="0" shrinkToFit="false"/>
      <protection locked="true" hidden="false"/>
    </xf>
    <xf numFmtId="164" fontId="18" fillId="0" borderId="3" xfId="0" applyFont="true" applyBorder="true" applyAlignment="true" applyProtection="false">
      <alignment horizontal="left" vertical="center" textRotation="0" wrapText="false" indent="0" shrinkToFit="false"/>
      <protection locked="true" hidden="false"/>
    </xf>
    <xf numFmtId="164" fontId="34" fillId="0" borderId="15" xfId="0" applyFont="true" applyBorder="true" applyAlignment="true" applyProtection="false">
      <alignment horizontal="left" vertical="bottom" textRotation="0" wrapText="false" indent="0" shrinkToFit="false"/>
      <protection locked="true" hidden="false"/>
    </xf>
    <xf numFmtId="164" fontId="18" fillId="10" borderId="13" xfId="0" applyFont="true" applyBorder="true" applyAlignment="true" applyProtection="false">
      <alignment horizontal="center" vertical="bottom" textRotation="0" wrapText="false" indent="0" shrinkToFit="false"/>
      <protection locked="true" hidden="false"/>
    </xf>
    <xf numFmtId="164" fontId="34" fillId="0" borderId="3" xfId="0" applyFont="true" applyBorder="true" applyAlignment="true" applyProtection="false">
      <alignment horizontal="center" vertical="center" textRotation="0" wrapText="true" indent="0" shrinkToFit="false"/>
      <protection locked="true" hidden="false"/>
    </xf>
    <xf numFmtId="164" fontId="34" fillId="0" borderId="3" xfId="0" applyFont="true" applyBorder="true" applyAlignment="true" applyProtection="false">
      <alignment horizontal="center" vertical="center" textRotation="0" wrapText="false" indent="0" shrinkToFit="false"/>
      <protection locked="true" hidden="false"/>
    </xf>
    <xf numFmtId="164" fontId="18" fillId="4" borderId="3" xfId="0" applyFont="true" applyBorder="true" applyAlignment="true" applyProtection="false">
      <alignment horizontal="center" vertical="center" textRotation="0" wrapText="true" indent="0" shrinkToFit="false"/>
      <protection locked="true" hidden="false"/>
    </xf>
    <xf numFmtId="164" fontId="13" fillId="10" borderId="3" xfId="0" applyFont="true" applyBorder="true" applyAlignment="true" applyProtection="false">
      <alignment horizontal="left" vertical="center" textRotation="0" wrapText="true" indent="0" shrinkToFit="false"/>
      <protection locked="true" hidden="false"/>
    </xf>
    <xf numFmtId="170" fontId="18" fillId="10" borderId="3" xfId="0" applyFont="true" applyBorder="true" applyAlignment="true" applyProtection="false">
      <alignment horizontal="center" vertical="center" textRotation="0" wrapText="false" indent="0" shrinkToFit="false"/>
      <protection locked="true" hidden="false"/>
    </xf>
    <xf numFmtId="164" fontId="18" fillId="10" borderId="3" xfId="0" applyFont="true" applyBorder="true" applyAlignment="true" applyProtection="false">
      <alignment horizontal="center" vertical="center" textRotation="0" wrapText="false" indent="0" shrinkToFit="false"/>
      <protection locked="true" hidden="false"/>
    </xf>
    <xf numFmtId="164" fontId="28" fillId="10" borderId="4" xfId="0" applyFont="true" applyBorder="true" applyAlignment="true" applyProtection="false">
      <alignment horizontal="center" vertical="center" textRotation="0" wrapText="true" indent="0" shrinkToFit="false"/>
      <protection locked="true" hidden="false"/>
    </xf>
    <xf numFmtId="164" fontId="13" fillId="10" borderId="4" xfId="0" applyFont="true" applyBorder="true" applyAlignment="true" applyProtection="false">
      <alignment horizontal="left" vertical="center" textRotation="0" wrapText="true" indent="0" shrinkToFit="false"/>
      <protection locked="true" hidden="false"/>
    </xf>
    <xf numFmtId="170" fontId="18" fillId="10" borderId="4" xfId="0" applyFont="true" applyBorder="true" applyAlignment="true" applyProtection="false">
      <alignment horizontal="center" vertical="center" textRotation="0" wrapText="false" indent="0" shrinkToFit="false"/>
      <protection locked="true" hidden="false"/>
    </xf>
    <xf numFmtId="164" fontId="18" fillId="10" borderId="4" xfId="0" applyFont="true" applyBorder="true" applyAlignment="true" applyProtection="false">
      <alignment horizontal="center" vertical="center" textRotation="0" wrapText="false" indent="0" shrinkToFit="false"/>
      <protection locked="true" hidden="false"/>
    </xf>
    <xf numFmtId="164" fontId="28" fillId="10" borderId="3" xfId="0" applyFont="true" applyBorder="true" applyAlignment="true" applyProtection="false">
      <alignment horizontal="center" vertical="center" textRotation="0" wrapText="true" indent="0" shrinkToFit="false"/>
      <protection locked="true" hidden="false"/>
    </xf>
    <xf numFmtId="164" fontId="13" fillId="10" borderId="4" xfId="0" applyFont="true" applyBorder="true" applyAlignment="true" applyProtection="true">
      <alignment horizontal="left" vertical="center" textRotation="0" wrapText="true" indent="0" shrinkToFit="false"/>
      <protection locked="false" hidden="false"/>
    </xf>
    <xf numFmtId="164" fontId="35" fillId="4" borderId="3" xfId="0" applyFont="true" applyBorder="true" applyAlignment="true" applyProtection="false">
      <alignment horizontal="center" vertical="center" textRotation="0" wrapText="true" indent="0" shrinkToFit="false"/>
      <protection locked="true" hidden="false"/>
    </xf>
    <xf numFmtId="170" fontId="34" fillId="4" borderId="3" xfId="0" applyFont="true" applyBorder="true" applyAlignment="true" applyProtection="true">
      <alignment horizontal="center" vertical="center" textRotation="0" wrapText="false" indent="0" shrinkToFit="false"/>
      <protection locked="true" hidden="true"/>
    </xf>
    <xf numFmtId="164" fontId="29" fillId="0" borderId="3" xfId="0" applyFont="true" applyBorder="true" applyAlignment="true" applyProtection="false">
      <alignment horizontal="center" vertical="center" textRotation="0" wrapText="true" indent="0" shrinkToFit="false"/>
      <protection locked="true" hidden="false"/>
    </xf>
    <xf numFmtId="164" fontId="18" fillId="10" borderId="3" xfId="0" applyFont="true" applyBorder="true" applyAlignment="true" applyProtection="false">
      <alignment horizontal="left" vertical="center" textRotation="0" wrapText="true" indent="0" shrinkToFit="false"/>
      <protection locked="true" hidden="false"/>
    </xf>
    <xf numFmtId="169" fontId="20" fillId="0" borderId="0" xfId="0" applyFont="true" applyBorder="false" applyAlignment="false" applyProtection="true">
      <alignment horizontal="general" vertical="bottom" textRotation="0" wrapText="false" indent="0" shrinkToFit="false"/>
      <protection locked="true" hidden="true"/>
    </xf>
    <xf numFmtId="164" fontId="18" fillId="10" borderId="4" xfId="0" applyFont="true" applyBorder="true" applyAlignment="true" applyProtection="false">
      <alignment horizontal="left" vertical="center" textRotation="0" wrapText="true" indent="0" shrinkToFit="false"/>
      <protection locked="true" hidden="false"/>
    </xf>
    <xf numFmtId="164" fontId="35" fillId="4" borderId="3" xfId="0" applyFont="true" applyBorder="true" applyAlignment="true" applyProtection="false">
      <alignment horizontal="center" vertical="center" textRotation="0" wrapText="false" indent="0" shrinkToFit="false"/>
      <protection locked="true" hidden="false"/>
    </xf>
    <xf numFmtId="170" fontId="35" fillId="4" borderId="3" xfId="0" applyFont="true" applyBorder="true" applyAlignment="true" applyProtection="true">
      <alignment horizontal="center" vertical="center" textRotation="0" wrapText="false" indent="0" shrinkToFit="false"/>
      <protection locked="true" hidden="true"/>
    </xf>
    <xf numFmtId="164" fontId="34" fillId="10" borderId="3" xfId="0" applyFont="true" applyBorder="true" applyAlignment="true" applyProtection="false">
      <alignment horizontal="center" vertical="bottom" textRotation="0" wrapText="false" indent="0" shrinkToFit="false"/>
      <protection locked="true" hidden="false"/>
    </xf>
    <xf numFmtId="170" fontId="18" fillId="10" borderId="3" xfId="0" applyFont="true" applyBorder="true" applyAlignment="true" applyProtection="false">
      <alignment horizontal="center" vertical="bottom" textRotation="0" wrapText="false" indent="0" shrinkToFit="false"/>
      <protection locked="true" hidden="false"/>
    </xf>
    <xf numFmtId="164" fontId="35" fillId="0" borderId="3" xfId="0" applyFont="true" applyBorder="true" applyAlignment="true" applyProtection="false">
      <alignment horizontal="center" vertical="bottom" textRotation="0" wrapText="false" indent="0" shrinkToFit="false"/>
      <protection locked="true" hidden="false"/>
    </xf>
    <xf numFmtId="170" fontId="35" fillId="4" borderId="16" xfId="0" applyFont="true" applyBorder="true" applyAlignment="true" applyProtection="true">
      <alignment horizontal="center" vertical="bottom" textRotation="0" wrapText="false" indent="0" shrinkToFit="false"/>
      <protection locked="true" hidden="true"/>
    </xf>
    <xf numFmtId="164" fontId="34" fillId="4" borderId="0" xfId="0" applyFont="true" applyBorder="false" applyAlignment="true" applyProtection="false">
      <alignment horizontal="left" vertical="bottom" textRotation="0" wrapText="true" indent="0" shrinkToFit="false"/>
      <protection locked="true" hidden="false"/>
    </xf>
    <xf numFmtId="164" fontId="21" fillId="0" borderId="17" xfId="0" applyFont="true" applyBorder="true" applyAlignment="true" applyProtection="false">
      <alignment horizontal="center" vertical="center" textRotation="0" wrapText="true" indent="0" shrinkToFit="false"/>
      <protection locked="true" hidden="false"/>
    </xf>
    <xf numFmtId="164" fontId="28" fillId="10" borderId="18"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center" vertical="center" textRotation="0" wrapText="true" indent="0" shrinkToFit="false"/>
      <protection locked="true" hidden="false"/>
    </xf>
    <xf numFmtId="164" fontId="18" fillId="0" borderId="17" xfId="0" applyFont="true" applyBorder="true" applyAlignment="true" applyProtection="false">
      <alignment horizontal="center" vertical="bottom" textRotation="0" wrapText="false" indent="0" shrinkToFit="false"/>
      <protection locked="true" hidden="false"/>
    </xf>
    <xf numFmtId="171" fontId="18" fillId="10" borderId="17" xfId="0" applyFont="true" applyBorder="true" applyAlignment="true" applyProtection="false">
      <alignment horizontal="center" vertical="bottom" textRotation="0" wrapText="false" indent="0" shrinkToFit="false"/>
      <protection locked="true" hidden="false"/>
    </xf>
    <xf numFmtId="171" fontId="18" fillId="10" borderId="17" xfId="0" applyFont="true" applyBorder="true" applyAlignment="true" applyProtection="true">
      <alignment horizontal="center" vertical="bottom" textRotation="0" wrapText="false" indent="0" shrinkToFit="false"/>
      <protection locked="false" hidden="false"/>
    </xf>
    <xf numFmtId="164" fontId="18" fillId="0" borderId="3" xfId="0" applyFont="true" applyBorder="true" applyAlignment="true" applyProtection="false">
      <alignment horizontal="center" vertical="bottom" textRotation="0" wrapText="false" indent="0" shrinkToFit="false"/>
      <protection locked="true" hidden="false"/>
    </xf>
    <xf numFmtId="169" fontId="18" fillId="0" borderId="3" xfId="0" applyFont="true" applyBorder="true" applyAlignment="true" applyProtection="true">
      <alignment horizontal="left" vertical="bottom" textRotation="0" wrapText="true" indent="0" shrinkToFit="false"/>
      <protection locked="true" hidden="true"/>
    </xf>
    <xf numFmtId="170" fontId="18" fillId="0" borderId="3" xfId="0" applyFont="true" applyBorder="true" applyAlignment="true" applyProtection="true">
      <alignment horizontal="center" vertical="bottom" textRotation="0" wrapText="false" indent="0" shrinkToFit="false"/>
      <protection locked="true" hidden="true"/>
    </xf>
    <xf numFmtId="169" fontId="34" fillId="0" borderId="3" xfId="0" applyFont="true" applyBorder="true" applyAlignment="true" applyProtection="true">
      <alignment horizontal="center" vertical="bottom" textRotation="0" wrapText="false" indent="0" shrinkToFit="false"/>
      <protection locked="true" hidden="true"/>
    </xf>
    <xf numFmtId="164" fontId="21" fillId="4" borderId="3" xfId="0" applyFont="true" applyBorder="true" applyAlignment="true" applyProtection="false">
      <alignment horizontal="center" vertical="bottom" textRotation="0" wrapText="false" indent="0" shrinkToFit="false"/>
      <protection locked="true" hidden="false"/>
    </xf>
    <xf numFmtId="169" fontId="21" fillId="4" borderId="3" xfId="0" applyFont="true" applyBorder="true" applyAlignment="true" applyProtection="true">
      <alignment horizontal="center" vertical="bottom" textRotation="0" wrapText="false" indent="0" shrinkToFit="false"/>
      <protection locked="true" hidden="true"/>
    </xf>
    <xf numFmtId="170" fontId="21" fillId="4" borderId="3" xfId="0" applyFont="true" applyBorder="true" applyAlignment="true" applyProtection="true">
      <alignment horizontal="center" vertical="bottom" textRotation="0" wrapText="false" indent="0" shrinkToFit="false"/>
      <protection locked="true" hidden="true"/>
    </xf>
    <xf numFmtId="169" fontId="34" fillId="0" borderId="3" xfId="0" applyFont="true" applyBorder="true" applyAlignment="true" applyProtection="false">
      <alignment horizontal="center" vertical="bottom" textRotation="0" wrapText="false" indent="0" shrinkToFit="false"/>
      <protection locked="true" hidden="false"/>
    </xf>
    <xf numFmtId="169" fontId="18" fillId="0" borderId="3" xfId="0" applyFont="true" applyBorder="true" applyAlignment="true" applyProtection="false">
      <alignment horizontal="center" vertical="bottom" textRotation="0" wrapText="false" indent="0" shrinkToFit="false"/>
      <protection locked="true" hidden="false"/>
    </xf>
    <xf numFmtId="164" fontId="18" fillId="4" borderId="0" xfId="0" applyFont="true" applyBorder="false" applyAlignment="true" applyProtection="false">
      <alignment horizontal="center" vertical="bottom" textRotation="0" wrapText="false" indent="0" shrinkToFit="false"/>
      <protection locked="true" hidden="false"/>
    </xf>
    <xf numFmtId="170" fontId="18" fillId="4" borderId="0" xfId="0" applyFont="true" applyBorder="false" applyAlignment="true" applyProtection="false">
      <alignment horizontal="center" vertical="bottom" textRotation="0" wrapText="false" indent="0" shrinkToFit="false"/>
      <protection locked="true" hidden="false"/>
    </xf>
    <xf numFmtId="164" fontId="35" fillId="0" borderId="3" xfId="0" applyFont="true" applyBorder="true" applyAlignment="true" applyProtection="false">
      <alignment horizontal="center" vertical="center" textRotation="0" wrapText="false" indent="0" shrinkToFit="false"/>
      <protection locked="true" hidden="false"/>
    </xf>
    <xf numFmtId="164" fontId="42" fillId="0" borderId="3" xfId="0" applyFont="true" applyBorder="true" applyAlignment="true" applyProtection="false">
      <alignment horizontal="center" vertical="bottom" textRotation="0" wrapText="true" indent="0" shrinkToFit="false"/>
      <protection locked="true" hidden="false"/>
    </xf>
    <xf numFmtId="164" fontId="18" fillId="10" borderId="3" xfId="0" applyFont="true" applyBorder="true" applyAlignment="true" applyProtection="false">
      <alignment horizontal="left" vertical="bottom" textRotation="0" wrapText="false" indent="0" shrinkToFit="false"/>
      <protection locked="true" hidden="false"/>
    </xf>
    <xf numFmtId="164" fontId="34" fillId="0" borderId="5" xfId="0" applyFont="true" applyBorder="true" applyAlignment="true" applyProtection="false">
      <alignment horizontal="center" vertical="bottom" textRotation="0" wrapText="false" indent="0" shrinkToFit="false"/>
      <protection locked="true" hidden="false"/>
    </xf>
    <xf numFmtId="170" fontId="34" fillId="0" borderId="3" xfId="0" applyFont="true" applyBorder="true" applyAlignment="true" applyProtection="false">
      <alignment horizontal="center" vertical="bottom" textRotation="0" wrapText="false" indent="0" shrinkToFit="false"/>
      <protection locked="true" hidden="false"/>
    </xf>
    <xf numFmtId="164" fontId="34" fillId="0" borderId="14" xfId="0" applyFont="true" applyBorder="true" applyAlignment="false" applyProtection="false">
      <alignment horizontal="general" vertical="bottom" textRotation="0" wrapText="false" indent="0" shrinkToFit="false"/>
      <protection locked="true" hidden="false"/>
    </xf>
    <xf numFmtId="164" fontId="34" fillId="0" borderId="6" xfId="0" applyFont="true" applyBorder="true" applyAlignment="false" applyProtection="false">
      <alignment horizontal="general" vertical="bottom" textRotation="0" wrapText="false" indent="0" shrinkToFit="false"/>
      <protection locked="true" hidden="false"/>
    </xf>
    <xf numFmtId="170" fontId="35" fillId="0" borderId="3" xfId="0" applyFont="true" applyBorder="true" applyAlignment="true" applyProtection="true">
      <alignment horizontal="center" vertical="bottom" textRotation="0" wrapText="false" indent="0" shrinkToFit="false"/>
      <protection locked="true" hidden="true"/>
    </xf>
    <xf numFmtId="164" fontId="35" fillId="0" borderId="5" xfId="0" applyFont="true" applyBorder="true" applyAlignment="true" applyProtection="false">
      <alignment horizontal="center" vertical="center" textRotation="0" wrapText="false" indent="0" shrinkToFit="false"/>
      <protection locked="true" hidden="false"/>
    </xf>
    <xf numFmtId="169" fontId="38" fillId="0" borderId="6" xfId="0" applyFont="true" applyBorder="true" applyAlignment="true" applyProtection="true">
      <alignment horizontal="center" vertical="center" textRotation="0" wrapText="true" indent="0" shrinkToFit="false"/>
      <protection locked="true" hidden="true"/>
    </xf>
    <xf numFmtId="164" fontId="27" fillId="0" borderId="3" xfId="0" applyFont="true" applyBorder="true" applyAlignment="true" applyProtection="false">
      <alignment horizontal="center" vertical="bottom" textRotation="0" wrapText="true" indent="0" shrinkToFit="false"/>
      <protection locked="true" hidden="false"/>
    </xf>
    <xf numFmtId="164" fontId="27" fillId="10" borderId="3" xfId="0" applyFont="true" applyBorder="true" applyAlignment="true" applyProtection="false">
      <alignment horizontal="left" vertical="center" textRotation="0" wrapText="false" indent="0" shrinkToFit="false"/>
      <protection locked="true" hidden="false"/>
    </xf>
    <xf numFmtId="164" fontId="27" fillId="10" borderId="3" xfId="0" applyFont="true" applyBorder="true" applyAlignment="true" applyProtection="false">
      <alignment horizontal="center" vertical="center" textRotation="0" wrapText="false" indent="0" shrinkToFit="false"/>
      <protection locked="true" hidden="false"/>
    </xf>
    <xf numFmtId="164" fontId="27" fillId="10" borderId="3" xfId="0" applyFont="true" applyBorder="true" applyAlignment="true" applyProtection="false">
      <alignment horizontal="left" vertical="center" textRotation="0" wrapText="true" indent="0" shrinkToFit="false"/>
      <protection locked="true" hidden="false"/>
    </xf>
    <xf numFmtId="170" fontId="34" fillId="0" borderId="3" xfId="0" applyFont="true" applyBorder="true" applyAlignment="true" applyProtection="true">
      <alignment horizontal="center" vertical="bottom" textRotation="0" wrapText="false" indent="0" shrinkToFit="false"/>
      <protection locked="true" hidden="true"/>
    </xf>
    <xf numFmtId="164" fontId="43" fillId="4" borderId="3" xfId="0" applyFont="true" applyBorder="true" applyAlignment="true" applyProtection="false">
      <alignment horizontal="center" vertical="center" textRotation="0" wrapText="true" indent="0" shrinkToFit="false"/>
      <protection locked="true" hidden="false"/>
    </xf>
    <xf numFmtId="169" fontId="18" fillId="0" borderId="3" xfId="0" applyFont="true" applyBorder="true" applyAlignment="true" applyProtection="true">
      <alignment horizontal="center" vertical="bottom" textRotation="0" wrapText="false" indent="0" shrinkToFit="false"/>
      <protection locked="true" hidden="true"/>
    </xf>
    <xf numFmtId="172" fontId="18" fillId="10" borderId="3" xfId="19" applyFont="true" applyBorder="true" applyAlignment="true" applyProtection="true">
      <alignment horizontal="center" vertical="bottom" textRotation="0" wrapText="false" indent="0" shrinkToFit="false"/>
      <protection locked="true" hidden="false"/>
    </xf>
    <xf numFmtId="164" fontId="44" fillId="4" borderId="3" xfId="0" applyFont="true" applyBorder="true" applyAlignment="true" applyProtection="false">
      <alignment horizontal="center" vertical="center" textRotation="0" wrapText="true" indent="0" shrinkToFit="false"/>
      <protection locked="true" hidden="false"/>
    </xf>
    <xf numFmtId="166" fontId="21" fillId="0" borderId="3" xfId="0" applyFont="true" applyBorder="true" applyAlignment="true" applyProtection="true">
      <alignment horizontal="center" vertical="center" textRotation="0" wrapText="false" indent="0" shrinkToFit="false"/>
      <protection locked="true" hidden="true"/>
    </xf>
    <xf numFmtId="164" fontId="18" fillId="0" borderId="3" xfId="0" applyFont="true" applyBorder="true" applyAlignment="true" applyProtection="false">
      <alignment horizontal="left" vertical="bottom" textRotation="0" wrapText="false" indent="0" shrinkToFit="false"/>
      <protection locked="true" hidden="false"/>
    </xf>
    <xf numFmtId="170" fontId="18" fillId="0" borderId="3" xfId="0" applyFont="true" applyBorder="true" applyAlignment="true" applyProtection="false">
      <alignment horizontal="center" vertical="bottom" textRotation="0" wrapText="false" indent="0" shrinkToFit="false"/>
      <protection locked="true" hidden="false"/>
    </xf>
    <xf numFmtId="170" fontId="18" fillId="4" borderId="3" xfId="0" applyFont="true" applyBorder="true" applyAlignment="true" applyProtection="true">
      <alignment horizontal="center" vertical="bottom" textRotation="0" wrapText="false" indent="0" shrinkToFit="false"/>
      <protection locked="true" hidden="true"/>
    </xf>
    <xf numFmtId="170" fontId="35" fillId="4" borderId="3" xfId="0" applyFont="true" applyBorder="true" applyAlignment="true" applyProtection="true">
      <alignment horizontal="center" vertical="bottom" textRotation="0" wrapText="false" indent="0" shrinkToFit="false"/>
      <protection locked="true" hidden="true"/>
    </xf>
    <xf numFmtId="164" fontId="23" fillId="3" borderId="0" xfId="0" applyFont="true" applyBorder="true" applyAlignment="true" applyProtection="false">
      <alignment horizontal="center" vertical="center" textRotation="0" wrapText="false" indent="0" shrinkToFit="false"/>
      <protection locked="true" hidden="false"/>
    </xf>
    <xf numFmtId="164" fontId="43" fillId="4" borderId="0" xfId="0" applyFont="true" applyBorder="true" applyAlignment="true" applyProtection="false">
      <alignment horizontal="left" vertical="center" textRotation="0" wrapText="true" indent="0" shrinkToFit="false"/>
      <protection locked="true" hidden="false"/>
    </xf>
    <xf numFmtId="164" fontId="21" fillId="0" borderId="3" xfId="0" applyFont="true" applyBorder="true" applyAlignment="true" applyProtection="false">
      <alignment horizontal="center" vertical="bottom" textRotation="0" wrapText="false" indent="0" shrinkToFit="false"/>
      <protection locked="true" hidden="false"/>
    </xf>
    <xf numFmtId="173" fontId="18" fillId="4" borderId="3" xfId="0" applyFont="true" applyBorder="true" applyAlignment="true" applyProtection="false">
      <alignment horizontal="center" vertical="bottom" textRotation="0" wrapText="false" indent="0" shrinkToFit="false"/>
      <protection locked="true" hidden="false"/>
    </xf>
    <xf numFmtId="164" fontId="21" fillId="0" borderId="3" xfId="0" applyFont="true" applyBorder="true" applyAlignment="true" applyProtection="false">
      <alignment horizontal="left" vertical="bottom" textRotation="0" wrapText="false" indent="0" shrinkToFit="false"/>
      <protection locked="true" hidden="false"/>
    </xf>
    <xf numFmtId="172" fontId="21" fillId="0" borderId="3" xfId="0" applyFont="true" applyBorder="true" applyAlignment="true" applyProtection="true">
      <alignment horizontal="center" vertical="bottom" textRotation="0" wrapText="false" indent="0" shrinkToFit="false"/>
      <protection locked="true" hidden="tru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4" fontId="18" fillId="0" borderId="5"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39" fillId="0" borderId="6" xfId="0" applyFont="true" applyBorder="true" applyAlignment="true" applyProtection="false">
      <alignment horizontal="center" vertical="bottom" textRotation="0" wrapText="true" indent="0" shrinkToFit="false"/>
      <protection locked="true" hidden="false"/>
    </xf>
    <xf numFmtId="164" fontId="28" fillId="10" borderId="5" xfId="0" applyFont="true" applyBorder="true" applyAlignment="true" applyProtection="false">
      <alignment horizontal="center" vertical="center" textRotation="0" wrapText="true" indent="0" shrinkToFit="false"/>
      <protection locked="true" hidden="false"/>
    </xf>
    <xf numFmtId="170" fontId="18" fillId="10" borderId="5" xfId="0" applyFont="true" applyBorder="true" applyAlignment="true" applyProtection="false">
      <alignment horizontal="center" vertical="center" textRotation="0" wrapText="true" indent="0" shrinkToFit="false"/>
      <protection locked="true" hidden="false"/>
    </xf>
    <xf numFmtId="164" fontId="18" fillId="10" borderId="3" xfId="0" applyFont="true" applyBorder="true" applyAlignment="true" applyProtection="false">
      <alignment horizontal="center" vertical="center" textRotation="0" wrapText="true" indent="0" shrinkToFit="false"/>
      <protection locked="true" hidden="false"/>
    </xf>
    <xf numFmtId="170" fontId="18" fillId="4" borderId="3" xfId="0" applyFont="true" applyBorder="true" applyAlignment="true" applyProtection="true">
      <alignment horizontal="center" vertical="center" textRotation="0" wrapText="true" indent="0" shrinkToFit="false"/>
      <protection locked="true" hidden="true"/>
    </xf>
    <xf numFmtId="164" fontId="28" fillId="10" borderId="6" xfId="0" applyFont="true" applyBorder="true" applyAlignment="true" applyProtection="false">
      <alignment horizontal="center" vertical="center" textRotation="0" wrapText="true" indent="0" shrinkToFit="false"/>
      <protection locked="true" hidden="false"/>
    </xf>
    <xf numFmtId="164" fontId="28" fillId="10" borderId="5" xfId="0" applyFont="true" applyBorder="true" applyAlignment="true" applyProtection="true">
      <alignment horizontal="center" vertical="center" textRotation="0" wrapText="true" indent="0" shrinkToFit="false"/>
      <protection locked="false" hidden="false"/>
    </xf>
    <xf numFmtId="164" fontId="45" fillId="0" borderId="19" xfId="0" applyFont="true" applyBorder="true" applyAlignment="true" applyProtection="false">
      <alignment horizontal="center" vertical="bottom" textRotation="0" wrapText="false" indent="0" shrinkToFit="false"/>
      <protection locked="true" hidden="false"/>
    </xf>
    <xf numFmtId="170" fontId="35" fillId="4" borderId="20" xfId="0" applyFont="true" applyBorder="true" applyAlignment="true" applyProtection="true">
      <alignment horizontal="center" vertical="bottom" textRotation="0" wrapText="false" indent="0" shrinkToFit="false"/>
      <protection locked="true" hidden="true"/>
    </xf>
    <xf numFmtId="164" fontId="18" fillId="0" borderId="3" xfId="0" applyFont="true" applyBorder="true" applyAlignment="true" applyProtection="false">
      <alignment horizontal="left" vertical="bottom" textRotation="0" wrapText="true" indent="0" shrinkToFit="false"/>
      <protection locked="true" hidden="false"/>
    </xf>
    <xf numFmtId="168" fontId="18" fillId="10" borderId="3" xfId="0" applyFont="true" applyBorder="true" applyAlignment="true" applyProtection="false">
      <alignment horizontal="center" vertical="center" textRotation="0" wrapText="true" indent="0" shrinkToFit="false"/>
      <protection locked="true" hidden="false"/>
    </xf>
    <xf numFmtId="164" fontId="23" fillId="8" borderId="0" xfId="0" applyFont="true" applyBorder="true" applyAlignment="true" applyProtection="false">
      <alignment horizontal="center" vertical="center" textRotation="0" wrapText="false" indent="0" shrinkToFit="false"/>
      <protection locked="true" hidden="false"/>
    </xf>
    <xf numFmtId="164" fontId="28" fillId="0" borderId="3" xfId="0" applyFont="true" applyBorder="true" applyAlignment="true" applyProtection="false">
      <alignment horizontal="center" vertical="bottom" textRotation="0" wrapText="false" indent="0" shrinkToFit="false"/>
      <protection locked="true" hidden="false"/>
    </xf>
    <xf numFmtId="164" fontId="38" fillId="4" borderId="0" xfId="0" applyFont="true" applyBorder="true" applyAlignment="true" applyProtection="false">
      <alignment horizontal="center" vertical="center" textRotation="0" wrapText="true" indent="0" shrinkToFit="false"/>
      <protection locked="true" hidden="false"/>
    </xf>
    <xf numFmtId="164" fontId="38" fillId="4" borderId="0" xfId="0" applyFont="true" applyBorder="true" applyAlignment="true" applyProtection="false">
      <alignment horizontal="center"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46" fillId="0" borderId="21" xfId="0" applyFont="true" applyBorder="true" applyAlignment="true" applyProtection="false">
      <alignment horizontal="center" vertical="center" textRotation="0" wrapText="true" indent="0" shrinkToFit="false"/>
      <protection locked="true" hidden="false"/>
    </xf>
    <xf numFmtId="164" fontId="29" fillId="0" borderId="17" xfId="0" applyFont="true" applyBorder="true" applyAlignment="true" applyProtection="false">
      <alignment horizontal="center" vertical="center" textRotation="0" wrapText="true" indent="0" shrinkToFit="false"/>
      <protection locked="true" hidden="false"/>
    </xf>
    <xf numFmtId="164" fontId="38" fillId="0" borderId="17"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true" applyProtection="false">
      <alignment horizontal="general" vertical="center" textRotation="0" wrapText="true" indent="0" shrinkToFit="false"/>
      <protection locked="true" hidden="false"/>
    </xf>
    <xf numFmtId="164" fontId="28" fillId="10" borderId="3" xfId="0" applyFont="true" applyBorder="true" applyAlignment="true" applyProtection="false">
      <alignment horizontal="center" vertical="bottom" textRotation="0" wrapText="true" indent="0" shrinkToFit="false"/>
      <protection locked="true" hidden="false"/>
    </xf>
    <xf numFmtId="164" fontId="47" fillId="10" borderId="3" xfId="0" applyFont="true" applyBorder="true" applyAlignment="true" applyProtection="false">
      <alignment horizontal="left" vertical="bottom" textRotation="0" wrapText="true" indent="0" shrinkToFit="false"/>
      <protection locked="true" hidden="false"/>
    </xf>
    <xf numFmtId="170" fontId="18" fillId="10" borderId="16" xfId="0" applyFont="true" applyBorder="true" applyAlignment="true" applyProtection="false">
      <alignment horizontal="center" vertical="bottom" textRotation="0" wrapText="false" indent="0" shrinkToFit="false"/>
      <protection locked="true" hidden="false"/>
    </xf>
    <xf numFmtId="164" fontId="28" fillId="10" borderId="16" xfId="0" applyFont="true" applyBorder="true" applyAlignment="true" applyProtection="false">
      <alignment horizontal="center" vertical="bottom" textRotation="0" wrapText="false" indent="0" shrinkToFit="false"/>
      <protection locked="true" hidden="false"/>
    </xf>
    <xf numFmtId="170" fontId="18" fillId="0" borderId="16" xfId="0" applyFont="true" applyBorder="true" applyAlignment="true" applyProtection="true">
      <alignment horizontal="center" vertical="bottom" textRotation="0" wrapText="false" indent="0" shrinkToFit="false"/>
      <protection locked="true" hidden="true"/>
    </xf>
    <xf numFmtId="170" fontId="18" fillId="4" borderId="0" xfId="0" applyFont="true" applyBorder="true" applyAlignment="true" applyProtection="false">
      <alignment horizontal="center" vertical="bottom" textRotation="0" wrapText="false" indent="0" shrinkToFit="false"/>
      <protection locked="true" hidden="false"/>
    </xf>
    <xf numFmtId="164" fontId="48" fillId="0" borderId="22" xfId="0" applyFont="true" applyBorder="true" applyAlignment="true" applyProtection="false">
      <alignment horizontal="center" vertical="center" textRotation="0" wrapText="true" indent="0" shrinkToFit="false"/>
      <protection locked="true" hidden="false"/>
    </xf>
    <xf numFmtId="172" fontId="48" fillId="0" borderId="17" xfId="0" applyFont="true" applyBorder="true" applyAlignment="true" applyProtection="false">
      <alignment horizontal="center" vertical="center" textRotation="0" wrapText="true" indent="0" shrinkToFit="false"/>
      <protection locked="true" hidden="false"/>
    </xf>
    <xf numFmtId="172" fontId="48" fillId="0" borderId="17" xfId="19" applyFont="true" applyBorder="true" applyAlignment="true" applyProtection="true">
      <alignment horizontal="center" vertical="center" textRotation="0" wrapText="true" indent="0" shrinkToFit="false"/>
      <protection locked="true" hidden="true"/>
    </xf>
    <xf numFmtId="173" fontId="48" fillId="0" borderId="0" xfId="19" applyFont="true" applyBorder="true" applyAlignment="true" applyProtection="true">
      <alignment horizontal="general" vertical="center" textRotation="0" wrapText="true" indent="0" shrinkToFit="false"/>
      <protection locked="true" hidden="false"/>
    </xf>
    <xf numFmtId="164" fontId="28" fillId="10" borderId="3" xfId="0" applyFont="true" applyBorder="true" applyAlignment="true" applyProtection="true">
      <alignment horizontal="center" vertical="bottom" textRotation="0" wrapText="true" indent="0" shrinkToFit="false"/>
      <protection locked="false" hidden="false"/>
    </xf>
    <xf numFmtId="164" fontId="47" fillId="10" borderId="3" xfId="0" applyFont="true" applyBorder="true" applyAlignment="true" applyProtection="true">
      <alignment horizontal="left" vertical="bottom" textRotation="0" wrapText="true" indent="0" shrinkToFit="false"/>
      <protection locked="false" hidden="false"/>
    </xf>
    <xf numFmtId="170" fontId="18" fillId="10" borderId="16" xfId="0" applyFont="true" applyBorder="true" applyAlignment="true" applyProtection="true">
      <alignment horizontal="center" vertical="bottom" textRotation="0" wrapText="false" indent="0" shrinkToFit="false"/>
      <protection locked="false" hidden="false"/>
    </xf>
    <xf numFmtId="164" fontId="28" fillId="10" borderId="3" xfId="0" applyFont="true" applyBorder="true" applyAlignment="true" applyProtection="true">
      <alignment horizontal="center" vertical="bottom" textRotation="0" wrapText="false" indent="0" shrinkToFit="false"/>
      <protection locked="false" hidden="false"/>
    </xf>
    <xf numFmtId="172" fontId="48" fillId="0" borderId="23" xfId="0" applyFont="true" applyBorder="true" applyAlignment="true" applyProtection="false">
      <alignment horizontal="center" vertical="center" textRotation="0" wrapText="true" indent="0" shrinkToFit="false"/>
      <protection locked="true" hidden="false"/>
    </xf>
    <xf numFmtId="164" fontId="28" fillId="10" borderId="3" xfId="0" applyFont="true" applyBorder="true" applyAlignment="true" applyProtection="false">
      <alignment horizontal="center" vertical="bottom" textRotation="0" wrapText="false" indent="0" shrinkToFit="false"/>
      <protection locked="true" hidden="false"/>
    </xf>
    <xf numFmtId="170" fontId="18" fillId="10" borderId="4" xfId="0" applyFont="true" applyBorder="true" applyAlignment="true" applyProtection="false">
      <alignment horizontal="center" vertical="bottom" textRotation="0" wrapText="false" indent="0" shrinkToFit="false"/>
      <protection locked="true" hidden="false"/>
    </xf>
    <xf numFmtId="164" fontId="28" fillId="10" borderId="4" xfId="0" applyFont="true" applyBorder="true" applyAlignment="true" applyProtection="false">
      <alignment horizontal="center" vertical="bottom" textRotation="0" wrapText="false" indent="0" shrinkToFit="false"/>
      <protection locked="true" hidden="false"/>
    </xf>
    <xf numFmtId="170" fontId="18" fillId="0" borderId="11" xfId="0" applyFont="true" applyBorder="true" applyAlignment="true" applyProtection="true">
      <alignment horizontal="center" vertical="bottom" textRotation="0" wrapText="false" indent="0" shrinkToFit="false"/>
      <protection locked="true" hidden="true"/>
    </xf>
    <xf numFmtId="170" fontId="1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35" fillId="4" borderId="0" xfId="0" applyFont="true" applyBorder="true" applyAlignment="true" applyProtection="false">
      <alignment horizontal="center" vertical="center" textRotation="0" wrapText="false" indent="0" shrinkToFit="false"/>
      <protection locked="true" hidden="false"/>
    </xf>
    <xf numFmtId="164" fontId="18" fillId="0" borderId="16" xfId="0" applyFont="true" applyBorder="true" applyAlignment="true" applyProtection="false">
      <alignment horizontal="center" vertical="bottom" textRotation="0" wrapText="false" indent="0" shrinkToFit="false"/>
      <protection locked="true" hidden="false"/>
    </xf>
    <xf numFmtId="164" fontId="28" fillId="0" borderId="16" xfId="0" applyFont="true" applyBorder="true" applyAlignment="true" applyProtection="false">
      <alignment horizontal="center" vertical="bottom" textRotation="0" wrapText="false" indent="0" shrinkToFit="false"/>
      <protection locked="true" hidden="false"/>
    </xf>
    <xf numFmtId="164" fontId="46" fillId="0" borderId="0"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8" fillId="4" borderId="4" xfId="0" applyFont="true" applyBorder="true" applyAlignment="true" applyProtection="false">
      <alignment horizontal="center" vertical="center" textRotation="0" wrapText="true" indent="0" shrinkToFit="false"/>
      <protection locked="true" hidden="false"/>
    </xf>
    <xf numFmtId="170" fontId="18" fillId="4" borderId="3" xfId="0" applyFont="true" applyBorder="true" applyAlignment="true" applyProtection="false">
      <alignment horizontal="center" vertical="bottom" textRotation="0" wrapText="false" indent="0" shrinkToFit="false"/>
      <protection locked="true" hidden="false"/>
    </xf>
    <xf numFmtId="164" fontId="18" fillId="4" borderId="0" xfId="0" applyFont="true" applyBorder="true" applyAlignment="true" applyProtection="false">
      <alignment horizontal="center" vertical="bottom" textRotation="0" wrapText="true" indent="0" shrinkToFit="false"/>
      <protection locked="true" hidden="false"/>
    </xf>
    <xf numFmtId="164" fontId="48" fillId="0" borderId="0" xfId="0" applyFont="true" applyBorder="true" applyAlignment="true" applyProtection="false">
      <alignment horizontal="center" vertical="center" textRotation="0" wrapText="true" indent="0" shrinkToFit="false"/>
      <protection locked="true" hidden="false"/>
    </xf>
    <xf numFmtId="172" fontId="48" fillId="0" borderId="0" xfId="0" applyFont="true" applyBorder="true" applyAlignment="true" applyProtection="false">
      <alignment horizontal="center" vertical="center" textRotation="0" wrapText="true" indent="0" shrinkToFit="false"/>
      <protection locked="true" hidden="false"/>
    </xf>
    <xf numFmtId="170" fontId="48" fillId="0" borderId="0" xfId="19" applyFont="true" applyBorder="true" applyAlignment="true" applyProtection="true">
      <alignment horizontal="center" vertical="center" textRotation="0" wrapText="true" indent="0" shrinkToFit="false"/>
      <protection locked="true" hidden="false"/>
    </xf>
    <xf numFmtId="173" fontId="48" fillId="0" borderId="0" xfId="19" applyFont="true" applyBorder="true" applyAlignment="true" applyProtection="true">
      <alignment horizontal="center" vertical="center" textRotation="0" wrapText="true" indent="0" shrinkToFit="false"/>
      <protection locked="true" hidden="false"/>
    </xf>
    <xf numFmtId="170" fontId="18" fillId="10" borderId="3" xfId="0" applyFont="true" applyBorder="true" applyAlignment="true" applyProtection="false">
      <alignment horizontal="center" vertical="bottom" textRotation="0" wrapText="true" indent="0" shrinkToFit="false"/>
      <protection locked="true" hidden="false"/>
    </xf>
    <xf numFmtId="172" fontId="49" fillId="0" borderId="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3" fillId="3" borderId="0" xfId="0" applyFont="true" applyBorder="true" applyAlignment="true" applyProtection="false">
      <alignment horizontal="center" vertical="center" textRotation="0" wrapText="true" indent="0" shrinkToFit="false"/>
      <protection locked="true" hidden="false"/>
    </xf>
    <xf numFmtId="164" fontId="35" fillId="0" borderId="3" xfId="0" applyFont="true" applyBorder="true" applyAlignment="true" applyProtection="false">
      <alignment horizontal="center" vertical="bottom" textRotation="0" wrapText="true" indent="0" shrinkToFit="false"/>
      <protection locked="true" hidden="false"/>
    </xf>
    <xf numFmtId="168" fontId="50" fillId="0" borderId="3" xfId="0" applyFont="true" applyBorder="true" applyAlignment="true" applyProtection="true">
      <alignment horizontal="center" vertical="bottom" textRotation="0" wrapText="false" indent="0" shrinkToFit="false"/>
      <protection locked="true" hidden="true"/>
    </xf>
    <xf numFmtId="170" fontId="29" fillId="0" borderId="3" xfId="0" applyFont="true" applyBorder="true" applyAlignment="true" applyProtection="false">
      <alignment horizontal="center" vertical="bottom" textRotation="0" wrapText="true" indent="0" shrinkToFit="false"/>
      <protection locked="true" hidden="false"/>
    </xf>
    <xf numFmtId="170" fontId="50" fillId="0" borderId="3" xfId="0" applyFont="true" applyBorder="true" applyAlignment="true" applyProtection="true">
      <alignment horizontal="center" vertical="bottom" textRotation="0" wrapText="false" indent="0" shrinkToFit="false"/>
      <protection locked="true" hidden="true"/>
    </xf>
    <xf numFmtId="170" fontId="50" fillId="0" borderId="0" xfId="0" applyFont="true" applyBorder="true" applyAlignment="true" applyProtection="true">
      <alignment horizontal="center" vertical="bottom" textRotation="0" wrapText="false" indent="0" shrinkToFit="false"/>
      <protection locked="true" hidden="true"/>
    </xf>
    <xf numFmtId="170" fontId="21" fillId="0" borderId="3" xfId="0" applyFont="true" applyBorder="true" applyAlignment="true" applyProtection="false">
      <alignment horizontal="center" vertical="bottom" textRotation="0" wrapText="true" indent="0" shrinkToFit="false"/>
      <protection locked="true" hidden="false"/>
    </xf>
    <xf numFmtId="170" fontId="50" fillId="0" borderId="0" xfId="0" applyFont="true" applyBorder="false" applyAlignment="true" applyProtection="false">
      <alignment horizontal="center" vertical="bottom" textRotation="0" wrapText="false" indent="0" shrinkToFit="false"/>
      <protection locked="true" hidden="false"/>
    </xf>
    <xf numFmtId="164" fontId="32" fillId="8" borderId="0" xfId="0" applyFont="true" applyBorder="true" applyAlignment="true" applyProtection="false">
      <alignment horizontal="center" vertical="bottom" textRotation="0" wrapText="true" indent="0" shrinkToFit="false"/>
      <protection locked="true" hidden="false"/>
    </xf>
    <xf numFmtId="164" fontId="32" fillId="8" borderId="17"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4" fontId="17" fillId="8" borderId="17" xfId="0" applyFont="true" applyBorder="true" applyAlignment="true" applyProtection="false">
      <alignment horizontal="center" vertical="bottom" textRotation="0" wrapText="true" indent="0" shrinkToFit="false"/>
      <protection locked="true" hidden="false"/>
    </xf>
    <xf numFmtId="164" fontId="38" fillId="0" borderId="0" xfId="0" applyFont="true" applyBorder="true" applyAlignment="true" applyProtection="false">
      <alignment horizontal="general" vertical="bottom" textRotation="0" wrapText="true" indent="0" shrinkToFit="false"/>
      <protection locked="true" hidden="false"/>
    </xf>
    <xf numFmtId="164" fontId="18" fillId="0" borderId="17" xfId="0" applyFont="true" applyBorder="true" applyAlignment="true" applyProtection="false">
      <alignment horizontal="center" vertical="bottom" textRotation="0" wrapText="true" indent="0" shrinkToFit="false"/>
      <protection locked="true" hidden="false"/>
    </xf>
    <xf numFmtId="164" fontId="13" fillId="0" borderId="17" xfId="0" applyFont="true" applyBorder="true" applyAlignment="true" applyProtection="false">
      <alignment horizontal="center" vertical="bottom"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51" fillId="0" borderId="17" xfId="0" applyFont="true" applyBorder="true" applyAlignment="true" applyProtection="false">
      <alignment horizontal="center" vertical="bottom" textRotation="0" wrapText="true" indent="0" shrinkToFit="false"/>
      <protection locked="true" hidden="false"/>
    </xf>
    <xf numFmtId="164" fontId="52" fillId="0" borderId="0"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53" fillId="0" borderId="0" xfId="0" applyFont="true" applyBorder="true" applyAlignment="true" applyProtection="false">
      <alignment horizontal="general" vertical="bottom" textRotation="0" wrapText="false" indent="0" shrinkToFit="false"/>
      <protection locked="true" hidden="false"/>
    </xf>
    <xf numFmtId="164" fontId="34" fillId="0" borderId="17" xfId="0" applyFont="true" applyBorder="true" applyAlignment="true" applyProtection="false">
      <alignment horizontal="center" vertical="bottom" textRotation="0" wrapText="true" indent="0" shrinkToFit="false"/>
      <protection locked="true" hidden="false"/>
    </xf>
    <xf numFmtId="164" fontId="18" fillId="0" borderId="23"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8" fillId="0" borderId="17" xfId="0" applyFont="true" applyBorder="true" applyAlignment="true" applyProtection="false">
      <alignment horizontal="center" vertical="bottom" textRotation="0" wrapText="tru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64" fontId="13" fillId="10" borderId="13" xfId="0" applyFont="true" applyBorder="true" applyAlignment="true" applyProtection="false">
      <alignment horizontal="left" vertical="bottom" textRotation="0" wrapText="true" indent="0" shrinkToFit="false"/>
      <protection locked="true" hidden="false"/>
    </xf>
    <xf numFmtId="164" fontId="28" fillId="10" borderId="17" xfId="0" applyFont="true" applyBorder="true" applyAlignment="true" applyProtection="false">
      <alignment horizontal="left" vertical="top" textRotation="0" wrapText="true" indent="0" shrinkToFit="false"/>
      <protection locked="true" hidden="false"/>
    </xf>
    <xf numFmtId="164" fontId="43" fillId="4" borderId="3" xfId="0" applyFont="true" applyBorder="true" applyAlignment="true" applyProtection="false">
      <alignment horizontal="center" vertical="center" textRotation="0" wrapText="false" indent="0" shrinkToFit="false"/>
      <protection locked="true" hidden="false"/>
    </xf>
    <xf numFmtId="164" fontId="43" fillId="4" borderId="6" xfId="0" applyFont="true" applyBorder="true" applyAlignment="true" applyProtection="false">
      <alignment horizontal="center" vertical="center" textRotation="0" wrapText="true" indent="0" shrinkToFit="false"/>
      <protection locked="true" hidden="false"/>
    </xf>
    <xf numFmtId="170" fontId="27" fillId="10" borderId="6" xfId="0" applyFont="true" applyBorder="true" applyAlignment="true" applyProtection="false">
      <alignment horizontal="center" vertical="center" textRotation="0" wrapText="false" indent="0" shrinkToFit="false"/>
      <protection locked="true" hidden="false"/>
    </xf>
    <xf numFmtId="170" fontId="27" fillId="10" borderId="6" xfId="0" applyFont="true" applyBorder="true" applyAlignment="true" applyProtection="true">
      <alignment horizontal="center" vertical="center" textRotation="0" wrapText="false" indent="0" shrinkToFit="false"/>
      <protection locked="false" hidden="false"/>
    </xf>
    <xf numFmtId="170" fontId="47" fillId="10" borderId="6" xfId="0" applyFont="true" applyBorder="true" applyAlignment="true" applyProtection="false">
      <alignment horizontal="center" vertical="center" textRotation="0" wrapText="false" indent="0" shrinkToFit="false"/>
      <protection locked="true" hidden="false"/>
    </xf>
    <xf numFmtId="170" fontId="47" fillId="10" borderId="6" xfId="0" applyFont="true" applyBorder="true" applyAlignment="true" applyProtection="true">
      <alignment horizontal="center" vertical="center" textRotation="0" wrapText="false" indent="0" shrinkToFit="false"/>
      <protection locked="false" hidden="false"/>
    </xf>
    <xf numFmtId="170" fontId="47" fillId="10" borderId="24" xfId="0" applyFont="true" applyBorder="true" applyAlignment="true" applyProtection="false">
      <alignment horizontal="center" vertical="center" textRotation="0" wrapText="false" indent="0" shrinkToFit="false"/>
      <protection locked="true" hidden="false"/>
    </xf>
    <xf numFmtId="170" fontId="15" fillId="0" borderId="6" xfId="0" applyFont="true" applyBorder="true" applyAlignment="true" applyProtection="true">
      <alignment horizontal="center" vertical="bottom" textRotation="0" wrapText="false" indent="0" shrinkToFit="false"/>
      <protection locked="true" hidden="true"/>
    </xf>
    <xf numFmtId="170" fontId="15" fillId="0" borderId="3" xfId="0" applyFont="true" applyBorder="true" applyAlignment="true" applyProtection="true">
      <alignment horizontal="center" vertical="bottom" textRotation="0" wrapText="false" indent="0" shrinkToFit="false"/>
      <protection locked="true" hidden="true"/>
    </xf>
    <xf numFmtId="164" fontId="35" fillId="0" borderId="5" xfId="0" applyFont="true" applyBorder="true" applyAlignment="true" applyProtection="false">
      <alignment horizontal="center" vertical="bottom" textRotation="0" wrapText="true" indent="0" shrinkToFit="false"/>
      <protection locked="true" hidden="false"/>
    </xf>
    <xf numFmtId="170" fontId="35" fillId="0" borderId="5" xfId="0" applyFont="true" applyBorder="true" applyAlignment="true" applyProtection="true">
      <alignment horizontal="center" vertical="bottom" textRotation="0" wrapText="false" indent="0" shrinkToFit="false"/>
      <protection locked="true" hidden="true"/>
    </xf>
    <xf numFmtId="169" fontId="21" fillId="0" borderId="3" xfId="0" applyFont="true" applyBorder="true" applyAlignment="true" applyProtection="true">
      <alignment horizontal="center" vertical="bottom" textRotation="0" wrapText="false" indent="0" shrinkToFit="false"/>
      <protection locked="true" hidden="true"/>
    </xf>
    <xf numFmtId="164" fontId="43" fillId="4" borderId="0" xfId="0" applyFont="true" applyBorder="true" applyAlignment="true" applyProtection="false">
      <alignment horizontal="center" vertical="center" textRotation="0" wrapText="false" indent="0" shrinkToFit="false"/>
      <protection locked="true" hidden="false"/>
    </xf>
    <xf numFmtId="164" fontId="39" fillId="10" borderId="13" xfId="0" applyFont="true" applyBorder="true" applyAlignment="true" applyProtection="false">
      <alignment horizontal="left" vertical="top" textRotation="0" wrapText="true" indent="0" shrinkToFit="false"/>
      <protection locked="true" hidden="false"/>
    </xf>
    <xf numFmtId="164" fontId="43" fillId="0" borderId="3" xfId="0" applyFont="true" applyBorder="true" applyAlignment="true" applyProtection="false">
      <alignment horizontal="center" vertical="bottom" textRotation="0" wrapText="false" indent="0" shrinkToFit="false"/>
      <protection locked="true" hidden="false"/>
    </xf>
    <xf numFmtId="169" fontId="43" fillId="4" borderId="3" xfId="0" applyFont="true" applyBorder="true" applyAlignment="true" applyProtection="true">
      <alignment horizontal="center" vertical="bottom" textRotation="0" wrapText="false" indent="0" shrinkToFit="false"/>
      <protection locked="true" hidden="true"/>
    </xf>
    <xf numFmtId="164" fontId="30" fillId="4" borderId="3" xfId="0" applyFont="true" applyBorder="true" applyAlignment="true" applyProtection="false">
      <alignment horizontal="general" vertical="bottom" textRotation="0" wrapText="true" indent="0" shrinkToFit="false"/>
      <protection locked="true" hidden="false"/>
    </xf>
    <xf numFmtId="166" fontId="43" fillId="4" borderId="3" xfId="0" applyFont="true" applyBorder="true" applyAlignment="true" applyProtection="true">
      <alignment horizontal="center" vertical="bottom" textRotation="0" wrapText="false" indent="0" shrinkToFit="false"/>
      <protection locked="true" hidden="true"/>
    </xf>
    <xf numFmtId="170" fontId="43" fillId="4" borderId="3" xfId="0" applyFont="true" applyBorder="true" applyAlignment="true" applyProtection="true">
      <alignment horizontal="center" vertical="bottom" textRotation="0" wrapText="false" indent="0" shrinkToFit="false"/>
      <protection locked="true" hidden="true"/>
    </xf>
    <xf numFmtId="164" fontId="30" fillId="4" borderId="3"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bottom" textRotation="0" wrapText="true" indent="0" shrinkToFit="false"/>
      <protection locked="true" hidden="false"/>
    </xf>
    <xf numFmtId="164" fontId="30" fillId="0" borderId="3" xfId="0" applyFont="true" applyBorder="true" applyAlignment="true" applyProtection="false">
      <alignment horizontal="center" vertical="center" textRotation="0" wrapText="true" indent="0" shrinkToFit="false"/>
      <protection locked="true" hidden="false"/>
    </xf>
    <xf numFmtId="164" fontId="54" fillId="0" borderId="3" xfId="0" applyFont="true" applyBorder="true" applyAlignment="true" applyProtection="false">
      <alignment horizontal="center" vertical="center" textRotation="0" wrapText="false" indent="0" shrinkToFit="false"/>
      <protection locked="true" hidden="false"/>
    </xf>
    <xf numFmtId="164" fontId="28" fillId="0" borderId="3" xfId="0" applyFont="true" applyBorder="true" applyAlignment="true" applyProtection="false">
      <alignment horizontal="center" vertical="center" textRotation="0" wrapText="false" indent="0" shrinkToFit="false"/>
      <protection locked="true" hidden="false"/>
    </xf>
    <xf numFmtId="164" fontId="55" fillId="0" borderId="0" xfId="0" applyFont="true" applyBorder="true" applyAlignment="false" applyProtection="false">
      <alignment horizontal="general" vertical="bottom" textRotation="0" wrapText="false" indent="0" shrinkToFit="false"/>
      <protection locked="true" hidden="false"/>
    </xf>
    <xf numFmtId="164" fontId="56" fillId="0" borderId="0" xfId="22" applyFont="true" applyBorder="false" applyAlignment="true" applyProtection="false">
      <alignment horizontal="general" vertical="bottom" textRotation="0" wrapText="true" indent="0" shrinkToFit="false"/>
      <protection locked="true" hidden="false"/>
    </xf>
    <xf numFmtId="164" fontId="57" fillId="0" borderId="0" xfId="22" applyFont="true" applyBorder="false" applyAlignment="true" applyProtection="false">
      <alignment horizontal="general" vertical="bottom" textRotation="0" wrapText="true" indent="0" shrinkToFit="false"/>
      <protection locked="true" hidden="false"/>
    </xf>
    <xf numFmtId="164" fontId="57" fillId="0" borderId="0" xfId="22" applyFont="true" applyBorder="false" applyAlignment="true" applyProtection="false">
      <alignment horizontal="center" vertical="bottom" textRotation="0" wrapText="true" indent="0" shrinkToFit="false"/>
      <protection locked="true" hidden="false"/>
    </xf>
    <xf numFmtId="164" fontId="56" fillId="0" borderId="1" xfId="22" applyFont="true" applyBorder="true" applyAlignment="true" applyProtection="false">
      <alignment horizontal="general" vertical="bottom" textRotation="0" wrapText="true" indent="0" shrinkToFit="false"/>
      <protection locked="true" hidden="false"/>
    </xf>
    <xf numFmtId="170" fontId="57" fillId="0" borderId="1" xfId="22" applyFont="true" applyBorder="true" applyAlignment="true" applyProtection="false">
      <alignment horizontal="center" vertical="center" textRotation="0" wrapText="true" indent="0" shrinkToFit="false"/>
      <protection locked="true" hidden="false"/>
    </xf>
    <xf numFmtId="164" fontId="56" fillId="0" borderId="0" xfId="22" applyFont="true" applyBorder="false" applyAlignment="true" applyProtection="false">
      <alignment horizontal="center" vertical="bottom" textRotation="0" wrapText="true" indent="0" shrinkToFit="false"/>
      <protection locked="true" hidden="false"/>
    </xf>
    <xf numFmtId="164" fontId="69" fillId="11" borderId="1" xfId="22" applyFont="true" applyBorder="true" applyAlignment="true" applyProtection="false">
      <alignment horizontal="general" vertical="center" textRotation="0" wrapText="true" indent="0" shrinkToFit="false"/>
      <protection locked="true" hidden="false"/>
    </xf>
    <xf numFmtId="164" fontId="69" fillId="11" borderId="0" xfId="22" applyFont="true" applyBorder="true" applyAlignment="true" applyProtection="false">
      <alignment horizontal="general" vertical="center" textRotation="0" wrapText="true" indent="0" shrinkToFit="false"/>
      <protection locked="true" hidden="false"/>
    </xf>
    <xf numFmtId="164" fontId="69" fillId="8" borderId="1" xfId="22" applyFont="true" applyBorder="true" applyAlignment="true" applyProtection="false">
      <alignment horizontal="general" vertical="center" textRotation="0" wrapText="true" indent="0" shrinkToFit="false"/>
      <protection locked="true" hidden="false"/>
    </xf>
    <xf numFmtId="164" fontId="69" fillId="8" borderId="1" xfId="22" applyFont="true" applyBorder="true" applyAlignment="true" applyProtection="false">
      <alignment horizontal="center" vertical="center" textRotation="0" wrapText="true" indent="0" shrinkToFit="false"/>
      <protection locked="true" hidden="false"/>
    </xf>
    <xf numFmtId="164" fontId="69" fillId="8" borderId="0" xfId="22" applyFont="true" applyBorder="true" applyAlignment="true" applyProtection="false">
      <alignment horizontal="center" vertical="center" textRotation="0" wrapText="true" indent="0" shrinkToFit="false"/>
      <protection locked="true" hidden="false"/>
    </xf>
    <xf numFmtId="164" fontId="57" fillId="0" borderId="1" xfId="22" applyFont="true" applyBorder="true" applyAlignment="true" applyProtection="false">
      <alignment horizontal="general" vertical="center" textRotation="0" wrapText="true" indent="0" shrinkToFit="false"/>
      <protection locked="true" hidden="false"/>
    </xf>
    <xf numFmtId="164" fontId="57" fillId="0" borderId="1" xfId="22" applyFont="true" applyBorder="true" applyAlignment="true" applyProtection="false">
      <alignment horizontal="center" vertical="center" textRotation="0" wrapText="true" indent="0" shrinkToFit="false"/>
      <protection locked="true" hidden="false"/>
    </xf>
    <xf numFmtId="164" fontId="57" fillId="0" borderId="0" xfId="22" applyFont="true" applyBorder="true" applyAlignment="true" applyProtection="false">
      <alignment horizontal="center" vertical="center" textRotation="0" wrapText="true" indent="0" shrinkToFit="false"/>
      <protection locked="true" hidden="false"/>
    </xf>
    <xf numFmtId="164" fontId="57" fillId="0" borderId="0" xfId="22" applyFont="true" applyBorder="false" applyAlignment="true" applyProtection="false">
      <alignment horizontal="general" vertical="center" textRotation="0" wrapText="true" indent="0" shrinkToFit="false"/>
      <protection locked="true" hidden="false"/>
    </xf>
    <xf numFmtId="164" fontId="57" fillId="0" borderId="0" xfId="22" applyFont="true" applyBorder="false" applyAlignment="true" applyProtection="false">
      <alignment horizontal="center" vertical="center" textRotation="0" wrapText="true" indent="0" shrinkToFit="false"/>
      <protection locked="true" hidden="false"/>
    </xf>
    <xf numFmtId="164" fontId="69" fillId="8" borderId="25" xfId="22" applyFont="true" applyBorder="true" applyAlignment="true" applyProtection="false">
      <alignment horizontal="general" vertical="center" textRotation="0" wrapText="true" indent="0" shrinkToFit="false"/>
      <protection locked="true" hidden="false"/>
    </xf>
    <xf numFmtId="168" fontId="57" fillId="0" borderId="1" xfId="22" applyFont="true" applyBorder="true" applyAlignment="true" applyProtection="false">
      <alignment horizontal="center" vertical="center" textRotation="0" wrapText="true" indent="0" shrinkToFit="false"/>
      <protection locked="true" hidden="false"/>
    </xf>
    <xf numFmtId="164" fontId="69" fillId="8" borderId="25" xfId="22" applyFont="true" applyBorder="true" applyAlignment="true" applyProtection="false">
      <alignment horizontal="center" vertical="center" textRotation="0" wrapText="true" indent="0" shrinkToFit="false"/>
      <protection locked="true" hidden="false"/>
    </xf>
    <xf numFmtId="164" fontId="69" fillId="11" borderId="25" xfId="22" applyFont="true" applyBorder="true" applyAlignment="true" applyProtection="false">
      <alignment horizontal="center" vertical="center" textRotation="0" wrapText="true" indent="0" shrinkToFit="false"/>
      <protection locked="true" hidden="false"/>
    </xf>
    <xf numFmtId="168" fontId="70" fillId="4" borderId="1" xfId="22" applyFont="true" applyBorder="true" applyAlignment="true" applyProtection="false">
      <alignment horizontal="center" vertical="center" textRotation="0" wrapText="true" indent="0" shrinkToFit="false"/>
      <protection locked="true" hidden="false"/>
    </xf>
    <xf numFmtId="164" fontId="69" fillId="11" borderId="25" xfId="22" applyFont="true" applyBorder="true" applyAlignment="true" applyProtection="false">
      <alignment horizontal="general" vertical="center" textRotation="0" wrapText="true" indent="0" shrinkToFit="false"/>
      <protection locked="true" hidden="false"/>
    </xf>
    <xf numFmtId="164" fontId="13" fillId="4" borderId="0" xfId="0" applyFont="true" applyBorder="false" applyAlignment="true" applyProtection="false">
      <alignment horizontal="general" vertical="center" textRotation="0" wrapText="false" indent="0" shrinkToFit="false"/>
      <protection locked="true" hidden="false"/>
    </xf>
    <xf numFmtId="164" fontId="18" fillId="4" borderId="0" xfId="0" applyFont="true" applyBorder="false" applyAlignment="true" applyProtection="false">
      <alignment horizontal="general" vertical="center" textRotation="0" wrapText="false" indent="0" shrinkToFit="false"/>
      <protection locked="true" hidden="false"/>
    </xf>
    <xf numFmtId="164" fontId="24" fillId="4" borderId="0" xfId="0" applyFont="true" applyBorder="false" applyAlignment="true" applyProtection="false">
      <alignment horizontal="general" vertical="center" textRotation="0" wrapText="false" indent="0" shrinkToFit="false"/>
      <protection locked="true" hidden="false"/>
    </xf>
    <xf numFmtId="164" fontId="71" fillId="4" borderId="0" xfId="0" applyFont="true" applyBorder="false" applyAlignment="true" applyProtection="false">
      <alignment horizontal="general" vertical="center"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false" applyProtection="false">
      <alignment horizontal="general" vertical="bottom" textRotation="0" wrapText="false" indent="0" shrinkToFit="false"/>
      <protection locked="true" hidden="false"/>
    </xf>
    <xf numFmtId="164" fontId="71"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center" vertical="center" textRotation="0" wrapText="false" indent="0" shrinkToFit="false"/>
      <protection locked="true" hidden="false"/>
    </xf>
    <xf numFmtId="164" fontId="22" fillId="4" borderId="0" xfId="0" applyFont="true" applyBorder="false" applyAlignment="false" applyProtection="false">
      <alignment horizontal="general" vertical="bottom" textRotation="0" wrapText="false" indent="0" shrinkToFit="false"/>
      <protection locked="true" hidden="false"/>
    </xf>
    <xf numFmtId="164" fontId="23" fillId="4" borderId="0" xfId="0" applyFont="true" applyBorder="false" applyAlignment="true" applyProtection="false">
      <alignment horizontal="general" vertical="center" textRotation="0" wrapText="false" indent="0" shrinkToFit="false"/>
      <protection locked="true" hidden="false"/>
    </xf>
    <xf numFmtId="164" fontId="72" fillId="4" borderId="0" xfId="0" applyFont="true" applyBorder="false" applyAlignment="true" applyProtection="false">
      <alignment horizontal="general" vertical="center" textRotation="0" wrapText="false" indent="0" shrinkToFit="false"/>
      <protection locked="true" hidden="false"/>
    </xf>
    <xf numFmtId="164" fontId="73" fillId="4" borderId="0" xfId="0" applyFont="true" applyBorder="true" applyAlignment="true" applyProtection="false">
      <alignment horizontal="left" vertical="center" textRotation="0" wrapText="true" indent="0" shrinkToFit="false"/>
      <protection locked="true" hidden="false"/>
    </xf>
    <xf numFmtId="164" fontId="74" fillId="4" borderId="0" xfId="0" applyFont="true" applyBorder="false" applyAlignment="true" applyProtection="false">
      <alignment horizontal="left" vertical="center" textRotation="0" wrapText="true" indent="0" shrinkToFit="false"/>
      <protection locked="true" hidden="false"/>
    </xf>
    <xf numFmtId="164" fontId="74" fillId="4" borderId="0" xfId="0" applyFont="true" applyBorder="true" applyAlignment="true" applyProtection="false">
      <alignment horizontal="left" vertical="center" textRotation="0" wrapText="false" indent="0" shrinkToFit="false"/>
      <protection locked="true" hidden="false"/>
    </xf>
    <xf numFmtId="164" fontId="74" fillId="4" borderId="0" xfId="0" applyFont="true" applyBorder="true" applyAlignment="true" applyProtection="false">
      <alignment horizontal="left" vertical="top" textRotation="0" wrapText="true" indent="0" shrinkToFit="false"/>
      <protection locked="true" hidden="false"/>
    </xf>
    <xf numFmtId="164" fontId="73" fillId="4" borderId="0" xfId="0" applyFont="true" applyBorder="false" applyAlignment="true" applyProtection="false">
      <alignment horizontal="center" vertical="center" textRotation="0" wrapText="true" indent="0" shrinkToFit="false"/>
      <protection locked="true" hidden="false"/>
    </xf>
    <xf numFmtId="164" fontId="73" fillId="4" borderId="0" xfId="0" applyFont="true" applyBorder="true" applyAlignment="true" applyProtection="false">
      <alignment horizontal="center" vertical="center" textRotation="0" wrapText="true" indent="0" shrinkToFit="false"/>
      <protection locked="true" hidden="false"/>
    </xf>
    <xf numFmtId="169" fontId="37" fillId="9" borderId="0" xfId="0" applyFont="true" applyBorder="false" applyAlignment="true" applyProtection="true">
      <alignment horizontal="center" vertical="center" textRotation="0" wrapText="false" indent="0" shrinkToFit="false"/>
      <protection locked="true" hidden="true"/>
    </xf>
    <xf numFmtId="164" fontId="23" fillId="3" borderId="9" xfId="0" applyFont="true" applyBorder="true" applyAlignment="true" applyProtection="false">
      <alignment horizontal="center" vertical="center" textRotation="0" wrapText="true" indent="0" shrinkToFit="false"/>
      <protection locked="true" hidden="false"/>
    </xf>
    <xf numFmtId="164" fontId="35" fillId="4" borderId="1" xfId="0" applyFont="true" applyBorder="true" applyAlignment="true" applyProtection="false">
      <alignment horizontal="center" vertical="center" textRotation="0" wrapText="true" indent="0" shrinkToFit="false"/>
      <protection locked="true" hidden="false"/>
    </xf>
    <xf numFmtId="164" fontId="34" fillId="4" borderId="1" xfId="0" applyFont="true" applyBorder="true" applyAlignment="true" applyProtection="false">
      <alignment horizontal="center" vertical="center" textRotation="0" wrapText="true" indent="0" shrinkToFit="false"/>
      <protection locked="true" hidden="false"/>
    </xf>
    <xf numFmtId="164" fontId="27" fillId="4" borderId="1" xfId="0" applyFont="true" applyBorder="true" applyAlignment="true" applyProtection="false">
      <alignment horizontal="center" vertical="center" textRotation="0" wrapText="true" indent="0" shrinkToFit="false"/>
      <protection locked="true" hidden="false"/>
    </xf>
    <xf numFmtId="164" fontId="28" fillId="4" borderId="1" xfId="0" applyFont="true" applyBorder="true" applyAlignment="true" applyProtection="false">
      <alignment horizontal="center" vertical="center" textRotation="0" wrapText="true" indent="0" shrinkToFit="false"/>
      <protection locked="true" hidden="false"/>
    </xf>
    <xf numFmtId="164" fontId="34" fillId="4"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true" indent="0" shrinkToFit="false"/>
      <protection locked="true" hidden="false"/>
    </xf>
    <xf numFmtId="168" fontId="18" fillId="10" borderId="1" xfId="0" applyFont="true" applyBorder="true" applyAlignment="true" applyProtection="false">
      <alignment horizontal="center" vertical="center" textRotation="0" wrapText="true" indent="0" shrinkToFit="false"/>
      <protection locked="true" hidden="false"/>
    </xf>
    <xf numFmtId="172" fontId="34" fillId="10" borderId="1" xfId="0" applyFont="true" applyBorder="true" applyAlignment="true" applyProtection="false">
      <alignment horizontal="center" vertical="center" textRotation="0" wrapText="true" indent="0" shrinkToFit="false"/>
      <protection locked="true" hidden="false"/>
    </xf>
    <xf numFmtId="164" fontId="34" fillId="10" borderId="1" xfId="0" applyFont="true" applyBorder="true" applyAlignment="true" applyProtection="false">
      <alignment horizontal="general" vertical="center" textRotation="0" wrapText="true" indent="0" shrinkToFit="false"/>
      <protection locked="true" hidden="false"/>
    </xf>
    <xf numFmtId="170" fontId="34" fillId="10" borderId="1"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34" fillId="10" borderId="25" xfId="0" applyFont="true" applyBorder="true" applyAlignment="true" applyProtection="false">
      <alignment horizontal="center" vertical="center" textRotation="0" wrapText="true" indent="0" shrinkToFit="false"/>
      <protection locked="true" hidden="false"/>
    </xf>
    <xf numFmtId="164" fontId="34" fillId="10" borderId="26" xfId="0" applyFont="true" applyBorder="true" applyAlignment="true" applyProtection="false">
      <alignment horizontal="center" vertical="center" textRotation="0" wrapText="true" indent="0" shrinkToFit="false"/>
      <protection locked="true" hidden="false"/>
    </xf>
    <xf numFmtId="164" fontId="23" fillId="4" borderId="0" xfId="20" applyFont="true" applyBorder="true" applyAlignment="true" applyProtection="true">
      <alignment horizontal="center" vertical="center" textRotation="0" wrapText="false" indent="0" shrinkToFit="false"/>
      <protection locked="true" hidden="false"/>
    </xf>
    <xf numFmtId="164" fontId="76" fillId="4" borderId="1" xfId="20" applyFont="true" applyBorder="true" applyAlignment="true" applyProtection="true">
      <alignment horizontal="center" vertical="center" textRotation="0" wrapText="true" indent="0" shrinkToFit="false"/>
      <protection locked="true" hidden="false"/>
    </xf>
    <xf numFmtId="170" fontId="77" fillId="4" borderId="1" xfId="20" applyFont="true" applyBorder="true" applyAlignment="true" applyProtection="true">
      <alignment horizontal="center" vertical="center"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64" fontId="78" fillId="12" borderId="1" xfId="20" applyFont="true" applyBorder="true" applyAlignment="true" applyProtection="true">
      <alignment horizontal="center" vertical="center" textRotation="0" wrapText="false" indent="0" shrinkToFit="false"/>
      <protection locked="true" hidden="false"/>
    </xf>
    <xf numFmtId="172" fontId="77" fillId="12" borderId="1" xfId="20" applyFont="true" applyBorder="true" applyAlignment="true" applyProtection="true">
      <alignment horizontal="center" vertical="center" textRotation="0" wrapText="false" indent="0" shrinkToFit="false"/>
      <protection locked="true" hidden="false"/>
    </xf>
    <xf numFmtId="164" fontId="72" fillId="4" borderId="0" xfId="20" applyFont="true" applyBorder="true" applyAlignment="true" applyProtection="true">
      <alignment horizontal="center" vertical="center" textRotation="0" wrapText="false" indent="0" shrinkToFit="false"/>
      <protection locked="true" hidden="false"/>
    </xf>
    <xf numFmtId="164" fontId="78" fillId="4" borderId="0" xfId="20" applyFont="true" applyBorder="true" applyAlignment="true" applyProtection="true">
      <alignment horizontal="center" vertical="center" textRotation="0" wrapText="false" indent="0" shrinkToFit="false"/>
      <protection locked="true" hidden="false"/>
    </xf>
    <xf numFmtId="172" fontId="77" fillId="4" borderId="0" xfId="20" applyFont="true" applyBorder="true" applyAlignment="true" applyProtection="true">
      <alignment horizontal="center" vertical="center" textRotation="0" wrapText="false" indent="0" shrinkToFit="false"/>
      <protection locked="true" hidden="false"/>
    </xf>
    <xf numFmtId="169" fontId="17" fillId="4" borderId="0" xfId="20" applyFont="true" applyBorder="true" applyAlignment="true" applyProtection="true">
      <alignment horizontal="center" vertical="center" textRotation="0" wrapText="false" indent="0" shrinkToFit="false"/>
      <protection locked="true" hidden="false"/>
    </xf>
    <xf numFmtId="172" fontId="79" fillId="4" borderId="0" xfId="20" applyFont="true" applyBorder="true" applyAlignment="true" applyProtection="true">
      <alignment horizontal="center" vertical="center" textRotation="0" wrapText="false" indent="0" shrinkToFit="false"/>
      <protection locked="true" hidden="false"/>
    </xf>
    <xf numFmtId="164" fontId="80" fillId="4" borderId="0" xfId="20" applyFont="true" applyBorder="true" applyAlignment="true" applyProtection="true">
      <alignment horizontal="center" vertical="center" textRotation="0" wrapText="false" indent="0" shrinkToFit="false"/>
      <protection locked="true" hidden="false"/>
    </xf>
    <xf numFmtId="164" fontId="81" fillId="8" borderId="27" xfId="20" applyFont="true" applyBorder="true" applyAlignment="true" applyProtection="true">
      <alignment horizontal="center" vertical="center" textRotation="0" wrapText="false" indent="0" shrinkToFit="false"/>
      <protection locked="true" hidden="false"/>
    </xf>
    <xf numFmtId="164" fontId="81" fillId="8" borderId="28" xfId="20" applyFont="true" applyBorder="true" applyAlignment="true" applyProtection="true">
      <alignment horizontal="center" vertical="center" textRotation="0" wrapText="false" indent="0" shrinkToFit="false"/>
      <protection locked="true" hidden="false"/>
    </xf>
    <xf numFmtId="165" fontId="82" fillId="0" borderId="0" xfId="21" applyFont="true" applyBorder="true" applyAlignment="true" applyProtection="true">
      <alignment horizontal="left" vertical="bottom" textRotation="0" wrapText="false" indent="1" shrinkToFit="false"/>
      <protection locked="true" hidden="true"/>
    </xf>
    <xf numFmtId="165" fontId="83" fillId="0" borderId="0" xfId="21" applyFont="true" applyBorder="true" applyAlignment="true" applyProtection="true">
      <alignment horizontal="left" vertical="bottom" textRotation="0" wrapText="false" indent="1" shrinkToFit="false"/>
      <protection locked="true" hidden="true"/>
    </xf>
    <xf numFmtId="175" fontId="82" fillId="0" borderId="0" xfId="18" applyFont="true" applyBorder="true" applyAlignment="true" applyProtection="true">
      <alignment horizontal="center" vertical="bottom" textRotation="0" wrapText="false" indent="0" shrinkToFit="false"/>
      <protection locked="true" hidden="true"/>
    </xf>
    <xf numFmtId="165" fontId="84" fillId="13" borderId="0" xfId="21" applyFont="true" applyBorder="true" applyAlignment="true" applyProtection="true">
      <alignment horizontal="general" vertical="bottom" textRotation="0" wrapText="false" indent="0" shrinkToFit="false"/>
      <protection locked="true" hidden="true"/>
    </xf>
    <xf numFmtId="165" fontId="85" fillId="13" borderId="0" xfId="21" applyFont="true" applyBorder="true" applyAlignment="true" applyProtection="true">
      <alignment horizontal="general" vertical="bottom" textRotation="0" wrapText="false" indent="0" shrinkToFit="false"/>
      <protection locked="true" hidden="true"/>
    </xf>
    <xf numFmtId="175" fontId="84" fillId="13" borderId="0" xfId="18" applyFont="true" applyBorder="true" applyAlignment="true" applyProtection="true">
      <alignment horizontal="center" vertical="bottom" textRotation="0" wrapText="false" indent="0" shrinkToFit="false"/>
      <protection locked="true" hidden="true"/>
    </xf>
    <xf numFmtId="165" fontId="84" fillId="13" borderId="0" xfId="21" applyFont="true" applyBorder="true" applyAlignment="true" applyProtection="true">
      <alignment horizontal="left" vertical="bottom" textRotation="0" wrapText="false" indent="0" shrinkToFit="false"/>
      <protection locked="true" hidden="true"/>
    </xf>
    <xf numFmtId="165" fontId="85" fillId="13" borderId="0" xfId="21" applyFont="true" applyBorder="true" applyAlignment="true" applyProtection="true">
      <alignment horizontal="left" vertical="bottom" textRotation="0" wrapText="false" indent="0" shrinkToFit="false"/>
      <protection locked="true" hidden="true"/>
    </xf>
    <xf numFmtId="164" fontId="86" fillId="4" borderId="0" xfId="0" applyFont="true" applyBorder="false" applyAlignment="true" applyProtection="true">
      <alignment horizontal="general" vertical="center" textRotation="0" wrapText="false" indent="0" shrinkToFit="false"/>
      <protection locked="true" hidden="true"/>
    </xf>
    <xf numFmtId="164" fontId="81" fillId="3" borderId="27" xfId="20" applyFont="true" applyBorder="true" applyAlignment="true" applyProtection="true">
      <alignment horizontal="center" vertical="center" textRotation="0" wrapText="false" indent="0" shrinkToFit="false"/>
      <protection locked="true" hidden="false"/>
    </xf>
    <xf numFmtId="165" fontId="87" fillId="0" borderId="0" xfId="21" applyFont="true" applyBorder="true" applyAlignment="true" applyProtection="true">
      <alignment horizontal="left" vertical="bottom" textRotation="0" wrapText="false" indent="0" shrinkToFit="false"/>
      <protection locked="true" hidden="true"/>
    </xf>
    <xf numFmtId="176" fontId="84" fillId="13" borderId="0" xfId="21" applyFont="true" applyBorder="true" applyAlignment="true" applyProtection="true">
      <alignment horizontal="center" vertical="bottom" textRotation="0" wrapText="true" indent="0" shrinkToFit="false"/>
      <protection locked="true" hidden="true"/>
    </xf>
    <xf numFmtId="176" fontId="83" fillId="0" borderId="0" xfId="21" applyFont="true" applyBorder="true" applyAlignment="true" applyProtection="true">
      <alignment horizontal="left" vertical="bottom" textRotation="0" wrapText="false" indent="1" shrinkToFit="false"/>
      <protection locked="true" hidden="true"/>
    </xf>
    <xf numFmtId="175" fontId="85" fillId="0" borderId="0" xfId="18" applyFont="true" applyBorder="true" applyAlignment="true" applyProtection="true">
      <alignment horizontal="center" vertical="bottom" textRotation="0" wrapText="false" indent="0" shrinkToFit="false"/>
      <protection locked="true" hidden="true"/>
    </xf>
    <xf numFmtId="164" fontId="81" fillId="3" borderId="0" xfId="20" applyFont="true" applyBorder="true" applyAlignment="true" applyProtection="true">
      <alignment horizontal="center" vertical="center" textRotation="0" wrapText="false" indent="0" shrinkToFit="false"/>
      <protection locked="true" hidden="false"/>
    </xf>
    <xf numFmtId="172" fontId="24" fillId="4" borderId="0" xfId="19" applyFont="true" applyBorder="true" applyAlignment="true" applyProtection="true">
      <alignment horizontal="general" vertical="center" textRotation="0" wrapText="false" indent="0" shrinkToFit="false"/>
      <protection locked="true" hidden="false"/>
    </xf>
    <xf numFmtId="172" fontId="88" fillId="0" borderId="0" xfId="19" applyFont="true" applyBorder="true" applyAlignment="true" applyProtection="true">
      <alignment horizontal="center" vertical="bottom" textRotation="0" wrapText="false" indent="0" shrinkToFit="false"/>
      <protection locked="true" hidden="true"/>
    </xf>
    <xf numFmtId="177" fontId="88" fillId="0" borderId="0" xfId="19" applyFont="true" applyBorder="true" applyAlignment="true" applyProtection="true">
      <alignment horizontal="center" vertical="bottom" textRotation="0" wrapText="false" indent="0" shrinkToFit="false"/>
      <protection locked="true" hidden="true"/>
    </xf>
    <xf numFmtId="164" fontId="17" fillId="8" borderId="29"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8" fontId="13" fillId="0" borderId="1" xfId="0" applyFont="true" applyBorder="true" applyAlignment="true" applyProtection="true">
      <alignment horizontal="center" vertical="bottom" textRotation="0" wrapText="true" indent="0" shrinkToFit="false"/>
      <protection locked="true" hidden="true"/>
    </xf>
    <xf numFmtId="169" fontId="13" fillId="0" borderId="1" xfId="0" applyFont="true" applyBorder="true" applyAlignment="true" applyProtection="true">
      <alignment horizontal="center" vertical="bottom" textRotation="0" wrapText="true" indent="0" shrinkToFit="false"/>
      <protection locked="true" hidden="true"/>
    </xf>
    <xf numFmtId="178" fontId="13" fillId="0" borderId="1" xfId="18" applyFont="true" applyBorder="true" applyAlignment="true" applyProtection="true">
      <alignment horizontal="general" vertical="bottom" textRotation="0" wrapText="true" indent="0" shrinkToFit="false"/>
      <protection locked="true" hidden="true"/>
    </xf>
    <xf numFmtId="172" fontId="13" fillId="0" borderId="1" xfId="0" applyFont="true" applyBorder="true" applyAlignment="true" applyProtection="true">
      <alignment horizontal="general" vertical="bottom" textRotation="0" wrapText="true" indent="0" shrinkToFit="false"/>
      <protection locked="true" hidden="true"/>
    </xf>
    <xf numFmtId="164" fontId="13" fillId="0" borderId="0" xfId="0" applyFont="true" applyBorder="false" applyAlignment="true" applyProtection="false">
      <alignment horizontal="general" vertical="bottom" textRotation="0" wrapText="tru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Millares_Modelo Financiero ACME Final" xfId="21"/>
    <cellStyle name="Normal 10 2" xfId="22"/>
    <cellStyle name="*unknown*" xfId="20" builtinId="8"/>
  </cellStyles>
  <dxfs count="20">
    <dxf>
      <font>
        <name val="Aptos Narrow"/>
        <family val="2"/>
        <color rgb="FF000000"/>
        <sz val="11"/>
      </font>
      <fill>
        <patternFill>
          <bgColor rgb="FFFF0000"/>
        </patternFill>
      </fill>
    </dxf>
    <dxf>
      <font>
        <name val="Aptos Narrow"/>
        <family val="2"/>
        <color rgb="FF000000"/>
        <sz val="11"/>
      </font>
      <fill>
        <patternFill>
          <bgColor rgb="FFFF0000"/>
        </patternFill>
      </fill>
    </dxf>
    <dxf>
      <font>
        <name val="Aptos Narrow"/>
        <family val="2"/>
        <color rgb="FF000000"/>
        <sz val="11"/>
      </font>
      <fill>
        <patternFill>
          <bgColor rgb="FFFF0000"/>
        </patternFill>
      </fill>
    </dxf>
    <dxf>
      <font>
        <name val="Aptos Narrow"/>
        <family val="2"/>
        <color rgb="FF000000"/>
        <sz val="11"/>
      </font>
      <fill>
        <patternFill>
          <bgColor rgb="FFFF0000"/>
        </patternFill>
      </fill>
    </dxf>
    <dxf>
      <font>
        <name val="Aptos Narrow"/>
        <family val="2"/>
        <color rgb="FF000000"/>
        <sz val="11"/>
      </font>
      <fill>
        <patternFill>
          <bgColor rgb="FFFF0000"/>
        </patternFill>
      </fill>
    </dxf>
    <dxf>
      <font>
        <name val="Aptos Narrow"/>
        <family val="2"/>
        <color rgb="FF000000"/>
        <sz val="11"/>
      </font>
      <fill>
        <patternFill>
          <bgColor rgb="FFFF0000"/>
        </patternFill>
      </fill>
    </dxf>
    <dxf>
      <font>
        <name val="Aptos Narrow"/>
        <family val="2"/>
        <color rgb="FF000000"/>
        <sz val="11"/>
      </font>
      <fill>
        <patternFill>
          <bgColor rgb="FFFF0000"/>
        </patternFill>
      </fill>
    </dxf>
    <dxf>
      <font>
        <name val="Aptos Narrow"/>
        <family val="2"/>
        <color rgb="FF800080"/>
        <sz val="11"/>
      </font>
      <fill>
        <patternFill>
          <bgColor rgb="FFFF99CC"/>
        </patternFill>
      </fill>
    </dxf>
    <dxf>
      <font>
        <name val="Aptos Narrow"/>
        <family val="2"/>
        <color rgb="FF800080"/>
        <sz val="11"/>
      </font>
      <fill>
        <patternFill>
          <bgColor rgb="FFFF99CC"/>
        </patternFill>
      </fill>
    </dxf>
    <dxf>
      <font>
        <name val="Aptos Narrow"/>
        <family val="2"/>
        <color rgb="FF800080"/>
        <sz val="11"/>
      </font>
      <fill>
        <patternFill>
          <bgColor rgb="FFFF99CC"/>
        </patternFill>
      </fill>
    </dxf>
    <dxf>
      <font>
        <name val="Aptos Narrow"/>
        <family val="2"/>
        <color rgb="FF800080"/>
        <sz val="11"/>
      </font>
      <fill>
        <patternFill>
          <bgColor rgb="FFFF99CC"/>
        </patternFill>
      </fill>
    </dxf>
    <dxf>
      <font>
        <name val="Aptos Narrow"/>
        <family val="2"/>
        <color rgb="FF800080"/>
        <sz val="11"/>
      </font>
      <fill>
        <patternFill>
          <bgColor rgb="FFFF99CC"/>
        </patternFill>
      </fill>
    </dxf>
    <dxf>
      <font>
        <name val="Aptos Narrow"/>
        <family val="2"/>
        <color rgb="FF800080"/>
        <sz val="11"/>
      </font>
      <fill>
        <patternFill>
          <bgColor rgb="FFFF99CC"/>
        </patternFill>
      </fill>
    </dxf>
    <dxf>
      <font>
        <name val="Aptos Narrow"/>
        <family val="2"/>
        <color rgb="FF800080"/>
        <sz val="11"/>
      </font>
      <fill>
        <patternFill>
          <bgColor rgb="FFFF99CC"/>
        </patternFill>
      </fill>
    </dxf>
    <dxf>
      <font>
        <name val="Aptos Narrow"/>
        <family val="2"/>
        <color rgb="FFFF0000"/>
        <sz val="11"/>
      </font>
      <fill>
        <patternFill>
          <bgColor rgb="FFFFCC99"/>
        </patternFill>
      </fill>
    </dxf>
    <dxf>
      <font>
        <name val="Aptos Narrow"/>
        <family val="2"/>
        <color rgb="FFFF0000"/>
        <sz val="11"/>
      </font>
      <fill>
        <patternFill>
          <bgColor rgb="FFFFCC99"/>
        </patternFill>
      </fill>
    </dxf>
    <dxf>
      <font>
        <name val="Aptos Narrow"/>
        <family val="2"/>
        <color rgb="FFFF0000"/>
        <sz val="11"/>
      </font>
      <fill>
        <patternFill>
          <bgColor rgb="FFFFCC99"/>
        </patternFill>
      </fill>
    </dxf>
    <dxf>
      <font>
        <name val="Aptos Narrow"/>
        <family val="2"/>
        <color rgb="FFFF0000"/>
        <sz val="11"/>
      </font>
      <fill>
        <patternFill>
          <bgColor rgb="FFFFCC99"/>
        </patternFill>
      </fill>
    </dxf>
    <dxf>
      <font>
        <name val="Aptos Narrow"/>
        <family val="2"/>
        <color rgb="FF000000"/>
        <sz val="11"/>
      </font>
      <fill>
        <patternFill>
          <bgColor rgb="FF00FF00"/>
        </patternFill>
      </fill>
    </dxf>
    <dxf>
      <font>
        <name val="Aptos Narrow"/>
        <family val="2"/>
        <color rgb="00FFFFFF"/>
        <sz val="11"/>
      </font>
      <fill>
        <patternFill>
          <bgColor rgb="FFFF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4.png"/><Relationship Id="rId7" Type="http://schemas.openxmlformats.org/officeDocument/2006/relationships/image" Target="../media/image3.png"/><Relationship Id="rId8" Type="http://schemas.openxmlformats.org/officeDocument/2006/relationships/image" Target="../media/image2.png"/><Relationship Id="rId9" Type="http://schemas.openxmlformats.org/officeDocument/2006/relationships/image" Target="../media/image3.png"/><Relationship Id="rId10" Type="http://schemas.openxmlformats.org/officeDocument/2006/relationships/image" Target="../media/image4.png"/><Relationship Id="rId11" Type="http://schemas.openxmlformats.org/officeDocument/2006/relationships/image" Target="../media/image4.png"/><Relationship Id="rId12" Type="http://schemas.openxmlformats.org/officeDocument/2006/relationships/image" Target="../media/image3.png"/><Relationship Id="rId13" Type="http://schemas.openxmlformats.org/officeDocument/2006/relationships/image" Target="../media/image4.png"/><Relationship Id="rId14" Type="http://schemas.openxmlformats.org/officeDocument/2006/relationships/image" Target="../media/image4.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765720</xdr:colOff>
      <xdr:row>0</xdr:row>
      <xdr:rowOff>75960</xdr:rowOff>
    </xdr:from>
    <xdr:to>
      <xdr:col>5</xdr:col>
      <xdr:colOff>446400</xdr:colOff>
      <xdr:row>3</xdr:row>
      <xdr:rowOff>28800</xdr:rowOff>
    </xdr:to>
    <xdr:pic>
      <xdr:nvPicPr>
        <xdr:cNvPr id="0" name="Imagen 1" descr="Forma&#10;&#10;Descripción generada automáticamente con confianza media"/>
        <xdr:cNvPicPr/>
      </xdr:nvPicPr>
      <xdr:blipFill>
        <a:blip r:embed="rId1"/>
        <a:srcRect l="89567" t="4329" r="4407" b="85596"/>
        <a:stretch/>
      </xdr:blipFill>
      <xdr:spPr>
        <a:xfrm>
          <a:off x="4420800" y="75960"/>
          <a:ext cx="594360" cy="581400"/>
        </a:xfrm>
        <a:prstGeom prst="rect">
          <a:avLst/>
        </a:prstGeom>
        <a:ln w="0">
          <a:noFill/>
        </a:ln>
      </xdr:spPr>
    </xdr:pic>
    <xdr:clientData/>
  </xdr:twoCellAnchor>
  <xdr:twoCellAnchor editAs="oneCell">
    <xdr:from>
      <xdr:col>5</xdr:col>
      <xdr:colOff>171360</xdr:colOff>
      <xdr:row>0</xdr:row>
      <xdr:rowOff>0</xdr:rowOff>
    </xdr:from>
    <xdr:to>
      <xdr:col>7</xdr:col>
      <xdr:colOff>731520</xdr:colOff>
      <xdr:row>3</xdr:row>
      <xdr:rowOff>76320</xdr:rowOff>
    </xdr:to>
    <xdr:pic>
      <xdr:nvPicPr>
        <xdr:cNvPr id="1" name="Imagen 25" descr=""/>
        <xdr:cNvPicPr/>
      </xdr:nvPicPr>
      <xdr:blipFill>
        <a:blip r:embed="rId2"/>
        <a:stretch/>
      </xdr:blipFill>
      <xdr:spPr>
        <a:xfrm>
          <a:off x="4740120" y="0"/>
          <a:ext cx="2387880" cy="704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102600</xdr:colOff>
      <xdr:row>0</xdr:row>
      <xdr:rowOff>76320</xdr:rowOff>
    </xdr:from>
    <xdr:to>
      <xdr:col>18</xdr:col>
      <xdr:colOff>319680</xdr:colOff>
      <xdr:row>5</xdr:row>
      <xdr:rowOff>76320</xdr:rowOff>
    </xdr:to>
    <xdr:pic>
      <xdr:nvPicPr>
        <xdr:cNvPr id="2" name="Imagen 1" descr="Forma&#10;&#10;Descripción generada automáticamente con confianza media"/>
        <xdr:cNvPicPr/>
      </xdr:nvPicPr>
      <xdr:blipFill>
        <a:blip r:embed="rId1"/>
        <a:srcRect l="89567" t="4329" r="4407" b="85596"/>
        <a:stretch/>
      </xdr:blipFill>
      <xdr:spPr>
        <a:xfrm>
          <a:off x="5054400" y="76320"/>
          <a:ext cx="1631880" cy="1238400"/>
        </a:xfrm>
        <a:prstGeom prst="rect">
          <a:avLst/>
        </a:prstGeom>
        <a:ln w="0">
          <a:noFill/>
        </a:ln>
      </xdr:spPr>
    </xdr:pic>
    <xdr:clientData/>
  </xdr:twoCellAnchor>
  <xdr:twoCellAnchor editAs="oneCell">
    <xdr:from>
      <xdr:col>1</xdr:col>
      <xdr:colOff>251280</xdr:colOff>
      <xdr:row>40</xdr:row>
      <xdr:rowOff>76320</xdr:rowOff>
    </xdr:from>
    <xdr:to>
      <xdr:col>9</xdr:col>
      <xdr:colOff>34560</xdr:colOff>
      <xdr:row>48</xdr:row>
      <xdr:rowOff>152640</xdr:rowOff>
    </xdr:to>
    <xdr:pic>
      <xdr:nvPicPr>
        <xdr:cNvPr id="3" name="Imagen 2" descr=""/>
        <xdr:cNvPicPr/>
      </xdr:nvPicPr>
      <xdr:blipFill>
        <a:blip r:embed="rId2"/>
        <a:stretch/>
      </xdr:blipFill>
      <xdr:spPr>
        <a:xfrm>
          <a:off x="604800" y="17870760"/>
          <a:ext cx="2612880" cy="2115000"/>
        </a:xfrm>
        <a:prstGeom prst="rect">
          <a:avLst/>
        </a:prstGeom>
        <a:ln w="0">
          <a:noFill/>
        </a:ln>
      </xdr:spPr>
    </xdr:pic>
    <xdr:clientData/>
  </xdr:twoCellAnchor>
  <xdr:twoCellAnchor editAs="oneCell">
    <xdr:from>
      <xdr:col>9</xdr:col>
      <xdr:colOff>239760</xdr:colOff>
      <xdr:row>36</xdr:row>
      <xdr:rowOff>85320</xdr:rowOff>
    </xdr:from>
    <xdr:to>
      <xdr:col>41</xdr:col>
      <xdr:colOff>319680</xdr:colOff>
      <xdr:row>45</xdr:row>
      <xdr:rowOff>257040</xdr:rowOff>
    </xdr:to>
    <xdr:sp>
      <xdr:nvSpPr>
        <xdr:cNvPr id="4" name="Bocadillo: ovalado 3"/>
        <xdr:cNvSpPr/>
      </xdr:nvSpPr>
      <xdr:spPr>
        <a:xfrm>
          <a:off x="3422880" y="16851240"/>
          <a:ext cx="11398320" cy="2486160"/>
        </a:xfrm>
        <a:prstGeom prst="wedgeEllipseCallout">
          <a:avLst>
            <a:gd name="adj1" fmla="val -20592"/>
            <a:gd name="adj2" fmla="val 55759"/>
          </a:avLst>
        </a:prstGeom>
        <a:noFill/>
        <a:ln w="19080">
          <a:solidFill>
            <a:srgbClr val="39a100"/>
          </a:solidFill>
          <a:miter/>
        </a:ln>
      </xdr:spPr>
      <xdr:style>
        <a:lnRef idx="0"/>
        <a:fillRef idx="0"/>
        <a:effectRef idx="0"/>
        <a:fontRef idx="minor"/>
      </xdr:style>
    </xdr:sp>
    <xdr:clientData/>
  </xdr:twoCellAnchor>
  <xdr:twoCellAnchor editAs="oneCell">
    <xdr:from>
      <xdr:col>14</xdr:col>
      <xdr:colOff>11160</xdr:colOff>
      <xdr:row>38</xdr:row>
      <xdr:rowOff>114840</xdr:rowOff>
    </xdr:from>
    <xdr:to>
      <xdr:col>37</xdr:col>
      <xdr:colOff>46080</xdr:colOff>
      <xdr:row>42</xdr:row>
      <xdr:rowOff>200160</xdr:rowOff>
    </xdr:to>
    <xdr:sp>
      <xdr:nvSpPr>
        <xdr:cNvPr id="5" name="Cuadro de texto 2"/>
        <xdr:cNvSpPr/>
      </xdr:nvSpPr>
      <xdr:spPr>
        <a:xfrm>
          <a:off x="4962960" y="17395200"/>
          <a:ext cx="8169840" cy="111384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800" spc="-1" strike="noStrike">
              <a:solidFill>
                <a:srgbClr val="003366"/>
              </a:solidFill>
              <a:latin typeface="Century Gothic"/>
            </a:rPr>
            <a:t>Usted(es) podrán exponer acá su proyecto, iniciativa productiva, unidad productiva, unidad económica, modelo o plan de negocio. Siga atentamente las indicaciones en cada elemento. </a:t>
          </a:r>
          <a:r>
            <a:rPr b="1" lang="es-ES" sz="1800" spc="-1" strike="noStrike" u="sng">
              <a:solidFill>
                <a:srgbClr val="003366"/>
              </a:solidFill>
              <a:uFillTx/>
              <a:latin typeface="Century Gothic"/>
            </a:rPr>
            <a:t>DILIGENCIE ÚNICAMENTE LAS CELDAS SOMBREADAS EN GRIS.</a:t>
          </a:r>
          <a:endParaRPr b="0" lang="es-ES" sz="1800" spc="-1" strike="noStrike">
            <a:latin typeface="Times New Roman"/>
          </a:endParaRPr>
        </a:p>
        <a:p>
          <a:endParaRPr b="0" lang="es-ES" sz="1800" spc="-1" strike="noStrike">
            <a:latin typeface="Times New Roman"/>
          </a:endParaRPr>
        </a:p>
      </xdr:txBody>
    </xdr:sp>
    <xdr:clientData/>
  </xdr:twoCellAnchor>
  <xdr:twoCellAnchor editAs="oneCell">
    <xdr:from>
      <xdr:col>36</xdr:col>
      <xdr:colOff>45360</xdr:colOff>
      <xdr:row>61</xdr:row>
      <xdr:rowOff>438480</xdr:rowOff>
    </xdr:from>
    <xdr:to>
      <xdr:col>44</xdr:col>
      <xdr:colOff>68760</xdr:colOff>
      <xdr:row>66</xdr:row>
      <xdr:rowOff>228600</xdr:rowOff>
    </xdr:to>
    <xdr:sp>
      <xdr:nvSpPr>
        <xdr:cNvPr id="6" name="Bocadillo: ovalado 5"/>
        <xdr:cNvSpPr/>
      </xdr:nvSpPr>
      <xdr:spPr>
        <a:xfrm>
          <a:off x="12778560" y="25274520"/>
          <a:ext cx="2852640" cy="399060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37</xdr:col>
      <xdr:colOff>182880</xdr:colOff>
      <xdr:row>62</xdr:row>
      <xdr:rowOff>114120</xdr:rowOff>
    </xdr:from>
    <xdr:to>
      <xdr:col>42</xdr:col>
      <xdr:colOff>263160</xdr:colOff>
      <xdr:row>64</xdr:row>
      <xdr:rowOff>67680</xdr:rowOff>
    </xdr:to>
    <xdr:sp>
      <xdr:nvSpPr>
        <xdr:cNvPr id="7" name="Cuadro de texto 2"/>
        <xdr:cNvSpPr/>
      </xdr:nvSpPr>
      <xdr:spPr>
        <a:xfrm>
          <a:off x="13269600" y="25740720"/>
          <a:ext cx="1848600" cy="62028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400" spc="-1" strike="noStrike">
              <a:solidFill>
                <a:srgbClr val="000000"/>
              </a:solidFill>
              <a:latin typeface="Century Gothic"/>
            </a:rPr>
            <a:t>El cliente es el que paga por el producto y puede ser diferente al que lo consume</a:t>
          </a:r>
          <a:endParaRPr b="0" lang="es-ES" sz="1400" spc="-1" strike="noStrike">
            <a:latin typeface="Times New Roman"/>
          </a:endParaRPr>
        </a:p>
      </xdr:txBody>
    </xdr:sp>
    <xdr:clientData/>
  </xdr:twoCellAnchor>
  <xdr:twoCellAnchor editAs="oneCell">
    <xdr:from>
      <xdr:col>35</xdr:col>
      <xdr:colOff>342360</xdr:colOff>
      <xdr:row>67</xdr:row>
      <xdr:rowOff>47160</xdr:rowOff>
    </xdr:from>
    <xdr:to>
      <xdr:col>40</xdr:col>
      <xdr:colOff>320040</xdr:colOff>
      <xdr:row>69</xdr:row>
      <xdr:rowOff>524160</xdr:rowOff>
    </xdr:to>
    <xdr:pic>
      <xdr:nvPicPr>
        <xdr:cNvPr id="8" name="Imagen 7" descr=""/>
        <xdr:cNvPicPr/>
      </xdr:nvPicPr>
      <xdr:blipFill>
        <a:blip r:embed="rId3"/>
        <a:stretch/>
      </xdr:blipFill>
      <xdr:spPr>
        <a:xfrm>
          <a:off x="12721680" y="29388600"/>
          <a:ext cx="1746000" cy="1530000"/>
        </a:xfrm>
        <a:prstGeom prst="rect">
          <a:avLst/>
        </a:prstGeom>
        <a:ln w="0">
          <a:noFill/>
        </a:ln>
      </xdr:spPr>
    </xdr:pic>
    <xdr:clientData/>
  </xdr:twoCellAnchor>
  <xdr:twoCellAnchor editAs="oneCell">
    <xdr:from>
      <xdr:col>36</xdr:col>
      <xdr:colOff>45360</xdr:colOff>
      <xdr:row>82</xdr:row>
      <xdr:rowOff>94680</xdr:rowOff>
    </xdr:from>
    <xdr:to>
      <xdr:col>43</xdr:col>
      <xdr:colOff>262800</xdr:colOff>
      <xdr:row>90</xdr:row>
      <xdr:rowOff>229320</xdr:rowOff>
    </xdr:to>
    <xdr:sp>
      <xdr:nvSpPr>
        <xdr:cNvPr id="9" name="Bocadillo: ovalado 8"/>
        <xdr:cNvSpPr/>
      </xdr:nvSpPr>
      <xdr:spPr>
        <a:xfrm>
          <a:off x="12778560" y="46411560"/>
          <a:ext cx="2693160" cy="214380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37</xdr:col>
      <xdr:colOff>319320</xdr:colOff>
      <xdr:row>83</xdr:row>
      <xdr:rowOff>180720</xdr:rowOff>
    </xdr:from>
    <xdr:to>
      <xdr:col>42</xdr:col>
      <xdr:colOff>102960</xdr:colOff>
      <xdr:row>85</xdr:row>
      <xdr:rowOff>115200</xdr:rowOff>
    </xdr:to>
    <xdr:sp>
      <xdr:nvSpPr>
        <xdr:cNvPr id="10" name="Cuadro de texto 2"/>
        <xdr:cNvSpPr/>
      </xdr:nvSpPr>
      <xdr:spPr>
        <a:xfrm>
          <a:off x="13406040" y="46745280"/>
          <a:ext cx="1551960" cy="45756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450" spc="-1" strike="noStrike">
              <a:solidFill>
                <a:srgbClr val="000000"/>
              </a:solidFill>
              <a:latin typeface="Century Gothic"/>
            </a:rPr>
            <a:t>¿Porqué y cómo seleccionó esta iniciativa?</a:t>
          </a:r>
          <a:endParaRPr b="0" lang="es-ES" sz="1450" spc="-1" strike="noStrike">
            <a:latin typeface="Times New Roman"/>
          </a:endParaRPr>
        </a:p>
      </xdr:txBody>
    </xdr:sp>
    <xdr:clientData/>
  </xdr:twoCellAnchor>
  <xdr:twoCellAnchor editAs="oneCell">
    <xdr:from>
      <xdr:col>35</xdr:col>
      <xdr:colOff>319680</xdr:colOff>
      <xdr:row>92</xdr:row>
      <xdr:rowOff>47520</xdr:rowOff>
    </xdr:from>
    <xdr:to>
      <xdr:col>41</xdr:col>
      <xdr:colOff>360</xdr:colOff>
      <xdr:row>94</xdr:row>
      <xdr:rowOff>29160</xdr:rowOff>
    </xdr:to>
    <xdr:pic>
      <xdr:nvPicPr>
        <xdr:cNvPr id="11" name="Imagen 10" descr=""/>
        <xdr:cNvPicPr/>
      </xdr:nvPicPr>
      <xdr:blipFill>
        <a:blip r:embed="rId4"/>
        <a:stretch/>
      </xdr:blipFill>
      <xdr:spPr>
        <a:xfrm>
          <a:off x="12699000" y="48868920"/>
          <a:ext cx="1802880" cy="1422360"/>
        </a:xfrm>
        <a:prstGeom prst="rect">
          <a:avLst/>
        </a:prstGeom>
        <a:ln w="0">
          <a:noFill/>
        </a:ln>
      </xdr:spPr>
    </xdr:pic>
    <xdr:clientData/>
  </xdr:twoCellAnchor>
  <xdr:twoCellAnchor editAs="oneCell">
    <xdr:from>
      <xdr:col>38</xdr:col>
      <xdr:colOff>251280</xdr:colOff>
      <xdr:row>118</xdr:row>
      <xdr:rowOff>0</xdr:rowOff>
    </xdr:from>
    <xdr:to>
      <xdr:col>43</xdr:col>
      <xdr:colOff>34560</xdr:colOff>
      <xdr:row>119</xdr:row>
      <xdr:rowOff>495720</xdr:rowOff>
    </xdr:to>
    <xdr:pic>
      <xdr:nvPicPr>
        <xdr:cNvPr id="12" name="Imagen 13" descr=""/>
        <xdr:cNvPicPr/>
      </xdr:nvPicPr>
      <xdr:blipFill>
        <a:blip r:embed="rId5"/>
        <a:stretch/>
      </xdr:blipFill>
      <xdr:spPr>
        <a:xfrm>
          <a:off x="13691520" y="67891680"/>
          <a:ext cx="1551960" cy="1229040"/>
        </a:xfrm>
        <a:prstGeom prst="rect">
          <a:avLst/>
        </a:prstGeom>
        <a:ln w="0">
          <a:noFill/>
        </a:ln>
      </xdr:spPr>
    </xdr:pic>
    <xdr:clientData/>
  </xdr:twoCellAnchor>
  <xdr:twoCellAnchor editAs="oneCell">
    <xdr:from>
      <xdr:col>37</xdr:col>
      <xdr:colOff>182880</xdr:colOff>
      <xdr:row>123</xdr:row>
      <xdr:rowOff>76320</xdr:rowOff>
    </xdr:from>
    <xdr:to>
      <xdr:col>44</xdr:col>
      <xdr:colOff>183240</xdr:colOff>
      <xdr:row>127</xdr:row>
      <xdr:rowOff>1559520</xdr:rowOff>
    </xdr:to>
    <xdr:sp>
      <xdr:nvSpPr>
        <xdr:cNvPr id="13" name="Bocadillo: ovalado 14"/>
        <xdr:cNvSpPr/>
      </xdr:nvSpPr>
      <xdr:spPr>
        <a:xfrm>
          <a:off x="13269600" y="70311240"/>
          <a:ext cx="2476080" cy="276912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38</xdr:col>
      <xdr:colOff>319680</xdr:colOff>
      <xdr:row>125</xdr:row>
      <xdr:rowOff>123840</xdr:rowOff>
    </xdr:from>
    <xdr:to>
      <xdr:col>43</xdr:col>
      <xdr:colOff>23040</xdr:colOff>
      <xdr:row>127</xdr:row>
      <xdr:rowOff>248400</xdr:rowOff>
    </xdr:to>
    <xdr:sp>
      <xdr:nvSpPr>
        <xdr:cNvPr id="14" name="Cuadro de texto 2"/>
        <xdr:cNvSpPr/>
      </xdr:nvSpPr>
      <xdr:spPr>
        <a:xfrm>
          <a:off x="13759920" y="70854120"/>
          <a:ext cx="1472040" cy="91512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900" spc="-1" strike="noStrike">
              <a:solidFill>
                <a:srgbClr val="000000"/>
              </a:solidFill>
              <a:latin typeface="Century Gothic"/>
            </a:rPr>
            <a:t>Por ejemplo: Producto: Huevo AAA Descripción: Huevo AAA de gallina feliz Unidad medida: Huevo por unidad Cliente: Bandeja x 30 huevos</a:t>
          </a:r>
          <a:endParaRPr b="0" lang="es-ES" sz="900" spc="-1" strike="noStrike">
            <a:latin typeface="Times New Roman"/>
          </a:endParaRPr>
        </a:p>
      </xdr:txBody>
    </xdr:sp>
    <xdr:clientData/>
  </xdr:twoCellAnchor>
  <xdr:twoCellAnchor editAs="oneCell">
    <xdr:from>
      <xdr:col>38</xdr:col>
      <xdr:colOff>273960</xdr:colOff>
      <xdr:row>331</xdr:row>
      <xdr:rowOff>504720</xdr:rowOff>
    </xdr:from>
    <xdr:to>
      <xdr:col>44</xdr:col>
      <xdr:colOff>320040</xdr:colOff>
      <xdr:row>334</xdr:row>
      <xdr:rowOff>66600</xdr:rowOff>
    </xdr:to>
    <xdr:pic>
      <xdr:nvPicPr>
        <xdr:cNvPr id="15" name="Imagen 18" descr=""/>
        <xdr:cNvPicPr/>
      </xdr:nvPicPr>
      <xdr:blipFill>
        <a:blip r:embed="rId6"/>
        <a:stretch/>
      </xdr:blipFill>
      <xdr:spPr>
        <a:xfrm>
          <a:off x="13714200" y="204953040"/>
          <a:ext cx="2168280" cy="1905120"/>
        </a:xfrm>
        <a:prstGeom prst="rect">
          <a:avLst/>
        </a:prstGeom>
        <a:ln w="0">
          <a:noFill/>
        </a:ln>
      </xdr:spPr>
    </xdr:pic>
    <xdr:clientData/>
  </xdr:twoCellAnchor>
  <xdr:twoCellAnchor editAs="oneCell">
    <xdr:from>
      <xdr:col>40</xdr:col>
      <xdr:colOff>0</xdr:colOff>
      <xdr:row>495</xdr:row>
      <xdr:rowOff>1592640</xdr:rowOff>
    </xdr:from>
    <xdr:to>
      <xdr:col>46</xdr:col>
      <xdr:colOff>46080</xdr:colOff>
      <xdr:row>496</xdr:row>
      <xdr:rowOff>1703880</xdr:rowOff>
    </xdr:to>
    <xdr:sp>
      <xdr:nvSpPr>
        <xdr:cNvPr id="16" name="Bocadillo: ovalado 20"/>
        <xdr:cNvSpPr/>
      </xdr:nvSpPr>
      <xdr:spPr>
        <a:xfrm>
          <a:off x="14147640" y="317751480"/>
          <a:ext cx="2168280" cy="214956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41</xdr:col>
      <xdr:colOff>102600</xdr:colOff>
      <xdr:row>495</xdr:row>
      <xdr:rowOff>1910880</xdr:rowOff>
    </xdr:from>
    <xdr:to>
      <xdr:col>44</xdr:col>
      <xdr:colOff>285840</xdr:colOff>
      <xdr:row>496</xdr:row>
      <xdr:rowOff>446040</xdr:rowOff>
    </xdr:to>
    <xdr:sp>
      <xdr:nvSpPr>
        <xdr:cNvPr id="17" name="Cuadro de texto 2"/>
        <xdr:cNvSpPr/>
      </xdr:nvSpPr>
      <xdr:spPr>
        <a:xfrm>
          <a:off x="14604120" y="318069720"/>
          <a:ext cx="1244160" cy="57348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450" spc="-1" strike="noStrike">
              <a:solidFill>
                <a:srgbClr val="000000"/>
              </a:solidFill>
              <a:latin typeface="Century Gothic"/>
            </a:rPr>
            <a:t>Mija, acá debemos hablar de estos años de trabajo</a:t>
          </a:r>
          <a:endParaRPr b="0" lang="es-ES" sz="1450" spc="-1" strike="noStrike">
            <a:latin typeface="Times New Roman"/>
          </a:endParaRPr>
        </a:p>
      </xdr:txBody>
    </xdr:sp>
    <xdr:clientData/>
  </xdr:twoCellAnchor>
  <xdr:twoCellAnchor editAs="oneCell">
    <xdr:from>
      <xdr:col>40</xdr:col>
      <xdr:colOff>34200</xdr:colOff>
      <xdr:row>497</xdr:row>
      <xdr:rowOff>16200</xdr:rowOff>
    </xdr:from>
    <xdr:to>
      <xdr:col>44</xdr:col>
      <xdr:colOff>308520</xdr:colOff>
      <xdr:row>497</xdr:row>
      <xdr:rowOff>1465200</xdr:rowOff>
    </xdr:to>
    <xdr:pic>
      <xdr:nvPicPr>
        <xdr:cNvPr id="18" name="Imagen 22" descr=""/>
        <xdr:cNvPicPr/>
      </xdr:nvPicPr>
      <xdr:blipFill>
        <a:blip r:embed="rId7"/>
        <a:stretch/>
      </xdr:blipFill>
      <xdr:spPr>
        <a:xfrm>
          <a:off x="14181840" y="320251680"/>
          <a:ext cx="1689120" cy="1449000"/>
        </a:xfrm>
        <a:prstGeom prst="rect">
          <a:avLst/>
        </a:prstGeom>
        <a:ln w="0">
          <a:noFill/>
        </a:ln>
      </xdr:spPr>
    </xdr:pic>
    <xdr:clientData/>
  </xdr:twoCellAnchor>
  <xdr:twoCellAnchor editAs="oneCell">
    <xdr:from>
      <xdr:col>16</xdr:col>
      <xdr:colOff>194040</xdr:colOff>
      <xdr:row>0</xdr:row>
      <xdr:rowOff>0</xdr:rowOff>
    </xdr:from>
    <xdr:to>
      <xdr:col>35</xdr:col>
      <xdr:colOff>114480</xdr:colOff>
      <xdr:row>6</xdr:row>
      <xdr:rowOff>19440</xdr:rowOff>
    </xdr:to>
    <xdr:pic>
      <xdr:nvPicPr>
        <xdr:cNvPr id="19" name="Imagen 25" descr=""/>
        <xdr:cNvPicPr/>
      </xdr:nvPicPr>
      <xdr:blipFill>
        <a:blip r:embed="rId8"/>
        <a:stretch/>
      </xdr:blipFill>
      <xdr:spPr>
        <a:xfrm>
          <a:off x="5853240" y="0"/>
          <a:ext cx="6640560" cy="1514880"/>
        </a:xfrm>
        <a:prstGeom prst="rect">
          <a:avLst/>
        </a:prstGeom>
        <a:ln w="0">
          <a:noFill/>
        </a:ln>
      </xdr:spPr>
    </xdr:pic>
    <xdr:clientData/>
  </xdr:twoCellAnchor>
  <xdr:twoCellAnchor editAs="oneCell">
    <xdr:from>
      <xdr:col>37</xdr:col>
      <xdr:colOff>171000</xdr:colOff>
      <xdr:row>128</xdr:row>
      <xdr:rowOff>316800</xdr:rowOff>
    </xdr:from>
    <xdr:to>
      <xdr:col>41</xdr:col>
      <xdr:colOff>171360</xdr:colOff>
      <xdr:row>128</xdr:row>
      <xdr:rowOff>1516320</xdr:rowOff>
    </xdr:to>
    <xdr:pic>
      <xdr:nvPicPr>
        <xdr:cNvPr id="20" name="Imagen 29" descr=""/>
        <xdr:cNvPicPr/>
      </xdr:nvPicPr>
      <xdr:blipFill>
        <a:blip r:embed="rId9"/>
        <a:stretch/>
      </xdr:blipFill>
      <xdr:spPr>
        <a:xfrm>
          <a:off x="13257720" y="73428120"/>
          <a:ext cx="1415160" cy="1199520"/>
        </a:xfrm>
        <a:prstGeom prst="rect">
          <a:avLst/>
        </a:prstGeom>
        <a:ln w="0">
          <a:noFill/>
        </a:ln>
      </xdr:spPr>
    </xdr:pic>
    <xdr:clientData/>
  </xdr:twoCellAnchor>
  <xdr:twoCellAnchor editAs="oneCell">
    <xdr:from>
      <xdr:col>33</xdr:col>
      <xdr:colOff>125280</xdr:colOff>
      <xdr:row>194</xdr:row>
      <xdr:rowOff>152640</xdr:rowOff>
    </xdr:from>
    <xdr:to>
      <xdr:col>39</xdr:col>
      <xdr:colOff>80280</xdr:colOff>
      <xdr:row>198</xdr:row>
      <xdr:rowOff>267120</xdr:rowOff>
    </xdr:to>
    <xdr:pic>
      <xdr:nvPicPr>
        <xdr:cNvPr id="21" name="Imagen 30" descr=""/>
        <xdr:cNvPicPr/>
      </xdr:nvPicPr>
      <xdr:blipFill>
        <a:blip r:embed="rId10"/>
        <a:stretch/>
      </xdr:blipFill>
      <xdr:spPr>
        <a:xfrm>
          <a:off x="11797200" y="128422080"/>
          <a:ext cx="2077200" cy="1676520"/>
        </a:xfrm>
        <a:prstGeom prst="rect">
          <a:avLst/>
        </a:prstGeom>
        <a:ln w="0">
          <a:noFill/>
        </a:ln>
      </xdr:spPr>
    </xdr:pic>
    <xdr:clientData/>
  </xdr:twoCellAnchor>
  <xdr:twoCellAnchor editAs="oneCell">
    <xdr:from>
      <xdr:col>37</xdr:col>
      <xdr:colOff>79920</xdr:colOff>
      <xdr:row>191</xdr:row>
      <xdr:rowOff>171360</xdr:rowOff>
    </xdr:from>
    <xdr:to>
      <xdr:col>43</xdr:col>
      <xdr:colOff>308520</xdr:colOff>
      <xdr:row>196</xdr:row>
      <xdr:rowOff>76320</xdr:rowOff>
    </xdr:to>
    <xdr:sp>
      <xdr:nvSpPr>
        <xdr:cNvPr id="22" name="Bocadillo: ovalado 31"/>
        <xdr:cNvSpPr/>
      </xdr:nvSpPr>
      <xdr:spPr>
        <a:xfrm>
          <a:off x="13166640" y="127250280"/>
          <a:ext cx="2350800" cy="187632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38</xdr:col>
      <xdr:colOff>273960</xdr:colOff>
      <xdr:row>396</xdr:row>
      <xdr:rowOff>1283400</xdr:rowOff>
    </xdr:from>
    <xdr:to>
      <xdr:col>41</xdr:col>
      <xdr:colOff>353880</xdr:colOff>
      <xdr:row>409</xdr:row>
      <xdr:rowOff>86400</xdr:rowOff>
    </xdr:to>
    <xdr:pic>
      <xdr:nvPicPr>
        <xdr:cNvPr id="23" name="Imagen 36" descr=""/>
        <xdr:cNvPicPr/>
      </xdr:nvPicPr>
      <xdr:blipFill>
        <a:blip r:embed="rId11"/>
        <a:stretch/>
      </xdr:blipFill>
      <xdr:spPr>
        <a:xfrm>
          <a:off x="13714200" y="237008160"/>
          <a:ext cx="1141200" cy="974520"/>
        </a:xfrm>
        <a:prstGeom prst="rect">
          <a:avLst/>
        </a:prstGeom>
        <a:ln w="0">
          <a:noFill/>
        </a:ln>
      </xdr:spPr>
    </xdr:pic>
    <xdr:clientData/>
  </xdr:twoCellAnchor>
  <xdr:twoCellAnchor editAs="oneCell">
    <xdr:from>
      <xdr:col>40</xdr:col>
      <xdr:colOff>262800</xdr:colOff>
      <xdr:row>394</xdr:row>
      <xdr:rowOff>342360</xdr:rowOff>
    </xdr:from>
    <xdr:to>
      <xdr:col>50</xdr:col>
      <xdr:colOff>68760</xdr:colOff>
      <xdr:row>397</xdr:row>
      <xdr:rowOff>171000</xdr:rowOff>
    </xdr:to>
    <xdr:sp>
      <xdr:nvSpPr>
        <xdr:cNvPr id="24" name="Bocadillo: ovalado 37"/>
        <xdr:cNvSpPr/>
      </xdr:nvSpPr>
      <xdr:spPr>
        <a:xfrm>
          <a:off x="14410440" y="235305000"/>
          <a:ext cx="3297240" cy="226728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42</xdr:col>
      <xdr:colOff>23040</xdr:colOff>
      <xdr:row>396</xdr:row>
      <xdr:rowOff>26280</xdr:rowOff>
    </xdr:from>
    <xdr:to>
      <xdr:col>48</xdr:col>
      <xdr:colOff>285480</xdr:colOff>
      <xdr:row>396</xdr:row>
      <xdr:rowOff>1191960</xdr:rowOff>
    </xdr:to>
    <xdr:sp>
      <xdr:nvSpPr>
        <xdr:cNvPr id="25" name="Cuadro de texto 2"/>
        <xdr:cNvSpPr/>
      </xdr:nvSpPr>
      <xdr:spPr>
        <a:xfrm>
          <a:off x="14878080" y="235751040"/>
          <a:ext cx="2384640" cy="116568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400" spc="-1" strike="noStrike">
              <a:solidFill>
                <a:srgbClr val="000000"/>
              </a:solidFill>
              <a:latin typeface="Century Gothic"/>
            </a:rPr>
            <a:t>Dependiendo el tipo de vinculación del cargo seleccione </a:t>
          </a:r>
          <a:r>
            <a:rPr b="1" lang="es-ES" sz="1400" spc="-1" strike="noStrike">
              <a:solidFill>
                <a:srgbClr val="000000"/>
              </a:solidFill>
              <a:latin typeface="Century Gothic"/>
            </a:rPr>
            <a:t>Si ó No </a:t>
          </a:r>
          <a:r>
            <a:rPr b="0" lang="es-ES" sz="1400" spc="-1" strike="noStrike">
              <a:solidFill>
                <a:srgbClr val="000000"/>
              </a:solidFill>
              <a:latin typeface="Century Gothic"/>
            </a:rPr>
            <a:t>en el factor prestacional</a:t>
          </a:r>
          <a:endParaRPr b="0" lang="es-ES" sz="1400" spc="-1" strike="noStrike">
            <a:latin typeface="Times New Roman"/>
          </a:endParaRPr>
        </a:p>
        <a:p>
          <a:endParaRPr b="0" lang="es-ES" sz="1400" spc="-1" strike="noStrike">
            <a:latin typeface="Times New Roman"/>
          </a:endParaRPr>
        </a:p>
      </xdr:txBody>
    </xdr:sp>
    <xdr:clientData/>
  </xdr:twoCellAnchor>
  <xdr:twoCellAnchor editAs="oneCell">
    <xdr:from>
      <xdr:col>40</xdr:col>
      <xdr:colOff>34200</xdr:colOff>
      <xdr:row>431</xdr:row>
      <xdr:rowOff>1291680</xdr:rowOff>
    </xdr:from>
    <xdr:to>
      <xdr:col>44</xdr:col>
      <xdr:colOff>228960</xdr:colOff>
      <xdr:row>431</xdr:row>
      <xdr:rowOff>2712240</xdr:rowOff>
    </xdr:to>
    <xdr:pic>
      <xdr:nvPicPr>
        <xdr:cNvPr id="26" name="Imagen 43" descr=""/>
        <xdr:cNvPicPr/>
      </xdr:nvPicPr>
      <xdr:blipFill>
        <a:blip r:embed="rId12"/>
        <a:stretch/>
      </xdr:blipFill>
      <xdr:spPr>
        <a:xfrm>
          <a:off x="14181840" y="260523360"/>
          <a:ext cx="1609560" cy="1420560"/>
        </a:xfrm>
        <a:prstGeom prst="rect">
          <a:avLst/>
        </a:prstGeom>
        <a:ln w="0">
          <a:noFill/>
        </a:ln>
      </xdr:spPr>
    </xdr:pic>
    <xdr:clientData/>
  </xdr:twoCellAnchor>
  <xdr:twoCellAnchor editAs="oneCell">
    <xdr:from>
      <xdr:col>32</xdr:col>
      <xdr:colOff>102240</xdr:colOff>
      <xdr:row>430</xdr:row>
      <xdr:rowOff>266760</xdr:rowOff>
    </xdr:from>
    <xdr:to>
      <xdr:col>39</xdr:col>
      <xdr:colOff>262440</xdr:colOff>
      <xdr:row>431</xdr:row>
      <xdr:rowOff>2281320</xdr:rowOff>
    </xdr:to>
    <xdr:sp>
      <xdr:nvSpPr>
        <xdr:cNvPr id="27" name="Bocadillo: ovalado 46"/>
        <xdr:cNvSpPr/>
      </xdr:nvSpPr>
      <xdr:spPr>
        <a:xfrm rot="18001800">
          <a:off x="11564640" y="259021080"/>
          <a:ext cx="2347920" cy="263592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32</xdr:col>
      <xdr:colOff>319320</xdr:colOff>
      <xdr:row>431</xdr:row>
      <xdr:rowOff>495360</xdr:rowOff>
    </xdr:from>
    <xdr:to>
      <xdr:col>39</xdr:col>
      <xdr:colOff>194400</xdr:colOff>
      <xdr:row>431</xdr:row>
      <xdr:rowOff>1603800</xdr:rowOff>
    </xdr:to>
    <xdr:sp>
      <xdr:nvSpPr>
        <xdr:cNvPr id="28" name="Cuadro de texto 2"/>
        <xdr:cNvSpPr/>
      </xdr:nvSpPr>
      <xdr:spPr>
        <a:xfrm>
          <a:off x="11637720" y="259727040"/>
          <a:ext cx="2350800" cy="110844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400" spc="-1" strike="noStrike">
              <a:solidFill>
                <a:srgbClr val="000000"/>
              </a:solidFill>
              <a:latin typeface="Century Gothic"/>
            </a:rPr>
            <a:t>No haga solo una lista de las inversiones sino incluya una breve descripción </a:t>
          </a:r>
          <a:endParaRPr b="0" lang="es-ES" sz="1400" spc="-1" strike="noStrike">
            <a:latin typeface="Times New Roman"/>
          </a:endParaRPr>
        </a:p>
        <a:p>
          <a:endParaRPr b="0" lang="es-ES" sz="1400" spc="-1" strike="noStrike">
            <a:latin typeface="Times New Roman"/>
          </a:endParaRPr>
        </a:p>
        <a:p>
          <a:endParaRPr b="0" lang="es-ES" sz="1400" spc="-1" strike="noStrike">
            <a:latin typeface="Times New Roman"/>
          </a:endParaRPr>
        </a:p>
      </xdr:txBody>
    </xdr:sp>
    <xdr:clientData/>
  </xdr:twoCellAnchor>
  <xdr:twoCellAnchor editAs="oneCell">
    <xdr:from>
      <xdr:col>34</xdr:col>
      <xdr:colOff>147960</xdr:colOff>
      <xdr:row>246</xdr:row>
      <xdr:rowOff>1789560</xdr:rowOff>
    </xdr:from>
    <xdr:to>
      <xdr:col>40</xdr:col>
      <xdr:colOff>102960</xdr:colOff>
      <xdr:row>250</xdr:row>
      <xdr:rowOff>85320</xdr:rowOff>
    </xdr:to>
    <xdr:pic>
      <xdr:nvPicPr>
        <xdr:cNvPr id="29" name="Imagen 48" descr=""/>
        <xdr:cNvPicPr/>
      </xdr:nvPicPr>
      <xdr:blipFill>
        <a:blip r:embed="rId13"/>
        <a:stretch/>
      </xdr:blipFill>
      <xdr:spPr>
        <a:xfrm>
          <a:off x="12173760" y="166662360"/>
          <a:ext cx="2076840" cy="1649160"/>
        </a:xfrm>
        <a:prstGeom prst="rect">
          <a:avLst/>
        </a:prstGeom>
        <a:ln w="0">
          <a:noFill/>
        </a:ln>
      </xdr:spPr>
    </xdr:pic>
    <xdr:clientData/>
  </xdr:twoCellAnchor>
  <xdr:twoCellAnchor editAs="oneCell">
    <xdr:from>
      <xdr:col>39</xdr:col>
      <xdr:colOff>182880</xdr:colOff>
      <xdr:row>246</xdr:row>
      <xdr:rowOff>498960</xdr:rowOff>
    </xdr:from>
    <xdr:to>
      <xdr:col>44</xdr:col>
      <xdr:colOff>160200</xdr:colOff>
      <xdr:row>249</xdr:row>
      <xdr:rowOff>114120</xdr:rowOff>
    </xdr:to>
    <xdr:sp>
      <xdr:nvSpPr>
        <xdr:cNvPr id="30" name="Bocadillo: ovalado 49"/>
        <xdr:cNvSpPr/>
      </xdr:nvSpPr>
      <xdr:spPr>
        <a:xfrm>
          <a:off x="13977000" y="165371760"/>
          <a:ext cx="1745640" cy="262548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40</xdr:col>
      <xdr:colOff>57240</xdr:colOff>
      <xdr:row>246</xdr:row>
      <xdr:rowOff>1015200</xdr:rowOff>
    </xdr:from>
    <xdr:to>
      <xdr:col>43</xdr:col>
      <xdr:colOff>171360</xdr:colOff>
      <xdr:row>247</xdr:row>
      <xdr:rowOff>76320</xdr:rowOff>
    </xdr:to>
    <xdr:sp>
      <xdr:nvSpPr>
        <xdr:cNvPr id="31" name="Cuadro de texto 2"/>
        <xdr:cNvSpPr/>
      </xdr:nvSpPr>
      <xdr:spPr>
        <a:xfrm>
          <a:off x="14204880" y="165888000"/>
          <a:ext cx="1175400" cy="126396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100" spc="-1" strike="noStrike">
              <a:solidFill>
                <a:srgbClr val="000000"/>
              </a:solidFill>
              <a:latin typeface="Century Gothic"/>
            </a:rPr>
            <a:t>Explicar brevemente por qué cree que podrá vender esas cantidades</a:t>
          </a:r>
          <a:endParaRPr b="0" lang="es-ES" sz="1100" spc="-1" strike="noStrike">
            <a:latin typeface="Times New Roman"/>
          </a:endParaRPr>
        </a:p>
      </xdr:txBody>
    </xdr:sp>
    <xdr:clientData/>
  </xdr:twoCellAnchor>
  <xdr:twoCellAnchor editAs="oneCell">
    <xdr:from>
      <xdr:col>35</xdr:col>
      <xdr:colOff>102600</xdr:colOff>
      <xdr:row>111</xdr:row>
      <xdr:rowOff>590040</xdr:rowOff>
    </xdr:from>
    <xdr:to>
      <xdr:col>45</xdr:col>
      <xdr:colOff>262800</xdr:colOff>
      <xdr:row>115</xdr:row>
      <xdr:rowOff>29520</xdr:rowOff>
    </xdr:to>
    <xdr:sp>
      <xdr:nvSpPr>
        <xdr:cNvPr id="32" name="Diagrama de flujo: cinta perforada 16"/>
        <xdr:cNvSpPr/>
      </xdr:nvSpPr>
      <xdr:spPr>
        <a:xfrm>
          <a:off x="12481920" y="62187480"/>
          <a:ext cx="3697200" cy="3685680"/>
        </a:xfrm>
        <a:prstGeom prst="flowChartPunchedTape">
          <a:avLst/>
        </a:prstGeom>
        <a:solidFill>
          <a:srgbClr val="ffffff"/>
        </a:solidFill>
        <a:ln w="19080">
          <a:solidFill>
            <a:srgbClr val="4ea72e"/>
          </a:solidFill>
          <a:miter/>
        </a:ln>
      </xdr:spPr>
      <xdr:style>
        <a:lnRef idx="0"/>
        <a:fillRef idx="0"/>
        <a:effectRef idx="0"/>
        <a:fontRef idx="minor"/>
      </xdr:style>
    </xdr:sp>
    <xdr:clientData/>
  </xdr:twoCellAnchor>
  <xdr:twoCellAnchor editAs="oneCell">
    <xdr:from>
      <xdr:col>35</xdr:col>
      <xdr:colOff>273960</xdr:colOff>
      <xdr:row>113</xdr:row>
      <xdr:rowOff>344880</xdr:rowOff>
    </xdr:from>
    <xdr:to>
      <xdr:col>45</xdr:col>
      <xdr:colOff>102960</xdr:colOff>
      <xdr:row>113</xdr:row>
      <xdr:rowOff>444600</xdr:rowOff>
    </xdr:to>
    <xdr:sp>
      <xdr:nvSpPr>
        <xdr:cNvPr id="33" name="Cuadro de texto 2"/>
        <xdr:cNvSpPr/>
      </xdr:nvSpPr>
      <xdr:spPr>
        <a:xfrm>
          <a:off x="12653280" y="62997840"/>
          <a:ext cx="3366000" cy="9972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000" spc="-1" strike="noStrike">
              <a:solidFill>
                <a:srgbClr val="000000"/>
              </a:solidFill>
              <a:latin typeface="Century Gothic"/>
            </a:rPr>
            <a:t>Ejemplo: </a:t>
          </a:r>
          <a:r>
            <a:rPr b="1" lang="es-ES" sz="1000" spc="-1" strike="noStrike">
              <a:solidFill>
                <a:srgbClr val="000000"/>
              </a:solidFill>
              <a:latin typeface="Century Gothic"/>
            </a:rPr>
            <a:t>Nuestro</a:t>
          </a:r>
          <a:r>
            <a:rPr b="0" lang="es-ES" sz="1000" spc="-1" strike="noStrike">
              <a:solidFill>
                <a:srgbClr val="000000"/>
              </a:solidFill>
              <a:latin typeface="Century Gothic"/>
            </a:rPr>
            <a:t> local </a:t>
          </a:r>
          <a:r>
            <a:rPr b="1" lang="es-ES" sz="1000" spc="-1" strike="noStrike">
              <a:solidFill>
                <a:srgbClr val="000000"/>
              </a:solidFill>
              <a:latin typeface="Century Gothic"/>
            </a:rPr>
            <a:t>ayuda</a:t>
          </a:r>
          <a:r>
            <a:rPr b="0" lang="es-ES" sz="1000" spc="-1" strike="noStrike">
              <a:solidFill>
                <a:srgbClr val="000000"/>
              </a:solidFill>
              <a:latin typeface="Century Gothic"/>
            </a:rPr>
            <a:t> a los usuarios a crear una experiencia en torno al consumo de café, e integrarlo en la vida diaria de sus clientes,  a través del control a la mayor parte de la cadena de suministro del café </a:t>
          </a:r>
          <a:r>
            <a:rPr b="1" lang="es-ES" sz="1000" spc="-1" strike="noStrike">
              <a:solidFill>
                <a:srgbClr val="000000"/>
              </a:solidFill>
              <a:latin typeface="Century Gothic"/>
            </a:rPr>
            <a:t>que</a:t>
          </a:r>
          <a:r>
            <a:rPr b="0" lang="es-ES" sz="1000" spc="-1" strike="noStrike">
              <a:solidFill>
                <a:srgbClr val="000000"/>
              </a:solidFill>
              <a:latin typeface="Century Gothic"/>
            </a:rPr>
            <a:t> comprende el cultivo, tostado y distribución, </a:t>
          </a:r>
          <a:r>
            <a:rPr b="1" lang="es-ES" sz="1000" spc="-1" strike="noStrike">
              <a:solidFill>
                <a:srgbClr val="000000"/>
              </a:solidFill>
              <a:latin typeface="Century Gothic"/>
            </a:rPr>
            <a:t>mediante</a:t>
          </a:r>
          <a:r>
            <a:rPr b="0" lang="es-ES" sz="1000" spc="-1" strike="noStrike">
              <a:solidFill>
                <a:srgbClr val="000000"/>
              </a:solidFill>
              <a:latin typeface="Century Gothic"/>
            </a:rPr>
            <a:t> un ambiente acogedor, tranquilo, con música suave y permitiendo un trato personalizado e intimidad con el cliente</a:t>
          </a:r>
          <a:r>
            <a:rPr b="0" lang="es-ES" sz="1100" spc="-1" strike="noStrike">
              <a:solidFill>
                <a:srgbClr val="000000"/>
              </a:solidFill>
              <a:latin typeface="Aptos Narrow"/>
            </a:rPr>
            <a:t>.</a:t>
          </a:r>
          <a:endParaRPr b="0" lang="es-ES" sz="1100" spc="-1" strike="noStrike">
            <a:latin typeface="Times New Roman"/>
          </a:endParaRPr>
        </a:p>
        <a:p>
          <a:endParaRPr b="0" lang="es-ES" sz="1400" spc="-1" strike="noStrike">
            <a:latin typeface="Times New Roman"/>
          </a:endParaRPr>
        </a:p>
      </xdr:txBody>
    </xdr:sp>
    <xdr:clientData/>
  </xdr:twoCellAnchor>
  <xdr:twoCellAnchor editAs="oneCell">
    <xdr:from>
      <xdr:col>34</xdr:col>
      <xdr:colOff>228240</xdr:colOff>
      <xdr:row>31</xdr:row>
      <xdr:rowOff>1256400</xdr:rowOff>
    </xdr:from>
    <xdr:to>
      <xdr:col>41</xdr:col>
      <xdr:colOff>34560</xdr:colOff>
      <xdr:row>31</xdr:row>
      <xdr:rowOff>3128040</xdr:rowOff>
    </xdr:to>
    <xdr:pic>
      <xdr:nvPicPr>
        <xdr:cNvPr id="34" name="Imagen 17" descr=""/>
        <xdr:cNvPicPr/>
      </xdr:nvPicPr>
      <xdr:blipFill>
        <a:blip r:embed="rId14"/>
        <a:stretch/>
      </xdr:blipFill>
      <xdr:spPr>
        <a:xfrm>
          <a:off x="12254040" y="12999960"/>
          <a:ext cx="2282040" cy="1871640"/>
        </a:xfrm>
        <a:prstGeom prst="rect">
          <a:avLst/>
        </a:prstGeom>
        <a:ln w="0">
          <a:noFill/>
        </a:ln>
      </xdr:spPr>
    </xdr:pic>
    <xdr:clientData/>
  </xdr:twoCellAnchor>
  <xdr:twoCellAnchor editAs="oneCell">
    <xdr:from>
      <xdr:col>36</xdr:col>
      <xdr:colOff>182520</xdr:colOff>
      <xdr:row>29</xdr:row>
      <xdr:rowOff>229320</xdr:rowOff>
    </xdr:from>
    <xdr:to>
      <xdr:col>43</xdr:col>
      <xdr:colOff>148320</xdr:colOff>
      <xdr:row>31</xdr:row>
      <xdr:rowOff>1162800</xdr:rowOff>
    </xdr:to>
    <xdr:sp>
      <xdr:nvSpPr>
        <xdr:cNvPr id="35" name="Bocadillo: ovalado 19"/>
        <xdr:cNvSpPr/>
      </xdr:nvSpPr>
      <xdr:spPr>
        <a:xfrm>
          <a:off x="12915720" y="11287080"/>
          <a:ext cx="2441520" cy="1619280"/>
        </a:xfrm>
        <a:prstGeom prst="wedgeEllipseCallout">
          <a:avLst>
            <a:gd name="adj1" fmla="val -20833"/>
            <a:gd name="adj2" fmla="val 62500"/>
          </a:avLst>
        </a:prstGeom>
        <a:noFill/>
        <a:ln w="19080">
          <a:solidFill>
            <a:srgbClr val="39a100"/>
          </a:solidFill>
          <a:miter/>
        </a:ln>
      </xdr:spPr>
      <xdr:style>
        <a:lnRef idx="0"/>
        <a:fillRef idx="0"/>
        <a:effectRef idx="0"/>
        <a:fontRef idx="minor"/>
      </xdr:style>
    </xdr:sp>
    <xdr:clientData/>
  </xdr:twoCellAnchor>
  <xdr:twoCellAnchor editAs="oneCell">
    <xdr:from>
      <xdr:col>37</xdr:col>
      <xdr:colOff>171000</xdr:colOff>
      <xdr:row>31</xdr:row>
      <xdr:rowOff>0</xdr:rowOff>
    </xdr:from>
    <xdr:to>
      <xdr:col>42</xdr:col>
      <xdr:colOff>320040</xdr:colOff>
      <xdr:row>31</xdr:row>
      <xdr:rowOff>507960</xdr:rowOff>
    </xdr:to>
    <xdr:sp>
      <xdr:nvSpPr>
        <xdr:cNvPr id="36" name="Cuadro de texto 2"/>
        <xdr:cNvSpPr/>
      </xdr:nvSpPr>
      <xdr:spPr>
        <a:xfrm>
          <a:off x="13257720" y="11743560"/>
          <a:ext cx="1917360" cy="50796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1450" spc="-1" strike="noStrike">
              <a:solidFill>
                <a:srgbClr val="000000"/>
              </a:solidFill>
              <a:latin typeface="Century Gothic"/>
            </a:rPr>
            <a:t>Atención a esta información</a:t>
          </a:r>
          <a:endParaRPr b="0" lang="es-ES" sz="1450" spc="-1" strike="noStrike">
            <a:latin typeface="Times New Roman"/>
          </a:endParaRPr>
        </a:p>
      </xdr:txBody>
    </xdr:sp>
    <xdr:clientData/>
  </xdr:twoCellAnchor>
  <xdr:twoCellAnchor editAs="oneCell">
    <xdr:from>
      <xdr:col>38</xdr:col>
      <xdr:colOff>228600</xdr:colOff>
      <xdr:row>192</xdr:row>
      <xdr:rowOff>0</xdr:rowOff>
    </xdr:from>
    <xdr:to>
      <xdr:col>42</xdr:col>
      <xdr:colOff>274320</xdr:colOff>
      <xdr:row>194</xdr:row>
      <xdr:rowOff>208800</xdr:rowOff>
    </xdr:to>
    <xdr:sp>
      <xdr:nvSpPr>
        <xdr:cNvPr id="37" name="Cuadro de texto 2"/>
        <xdr:cNvSpPr/>
      </xdr:nvSpPr>
      <xdr:spPr>
        <a:xfrm>
          <a:off x="13668840" y="127536120"/>
          <a:ext cx="1460520" cy="942120"/>
        </a:xfrm>
        <a:prstGeom prst="rect">
          <a:avLst/>
        </a:prstGeom>
        <a:solidFill>
          <a:srgbClr val="ffffff"/>
        </a:solidFill>
        <a:ln w="0">
          <a:noFill/>
        </a:ln>
      </xdr:spPr>
      <xdr:style>
        <a:lnRef idx="0"/>
        <a:fillRef idx="0"/>
        <a:effectRef idx="0"/>
        <a:fontRef idx="minor"/>
      </xdr:style>
      <xdr:txBody>
        <a:bodyPr lIns="20160" rIns="20160" tIns="20160" bIns="20160" anchor="t">
          <a:noAutofit/>
        </a:bodyPr>
        <a:p>
          <a:r>
            <a:rPr b="0" lang="es-ES" sz="900" spc="-1" strike="noStrike">
              <a:solidFill>
                <a:srgbClr val="000000"/>
              </a:solidFill>
              <a:latin typeface="Century Gothic"/>
            </a:rPr>
            <a:t>Es importante conocer las obligaciones que se adquieren con cada forma de legalización</a:t>
          </a:r>
          <a:endParaRPr b="0" lang="es-ES" sz="9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1187640</xdr:colOff>
      <xdr:row>0</xdr:row>
      <xdr:rowOff>0</xdr:rowOff>
    </xdr:from>
    <xdr:to>
      <xdr:col>6</xdr:col>
      <xdr:colOff>995040</xdr:colOff>
      <xdr:row>2</xdr:row>
      <xdr:rowOff>504720</xdr:rowOff>
    </xdr:to>
    <xdr:pic>
      <xdr:nvPicPr>
        <xdr:cNvPr id="38" name="Imagen 3" descr="Forma&#10;&#10;Descripción generada automáticamente con confianza media"/>
        <xdr:cNvPicPr/>
      </xdr:nvPicPr>
      <xdr:blipFill>
        <a:blip r:embed="rId1"/>
        <a:srcRect l="89567" t="4329" r="4407" b="85596"/>
        <a:stretch/>
      </xdr:blipFill>
      <xdr:spPr>
        <a:xfrm>
          <a:off x="8876880" y="0"/>
          <a:ext cx="1658520" cy="1209600"/>
        </a:xfrm>
        <a:prstGeom prst="rect">
          <a:avLst/>
        </a:prstGeom>
        <a:ln w="0">
          <a:noFill/>
        </a:ln>
      </xdr:spPr>
    </xdr:pic>
    <xdr:clientData/>
  </xdr:twoCellAnchor>
  <xdr:twoCellAnchor editAs="oneCell">
    <xdr:from>
      <xdr:col>5</xdr:col>
      <xdr:colOff>1840320</xdr:colOff>
      <xdr:row>0</xdr:row>
      <xdr:rowOff>0</xdr:rowOff>
    </xdr:from>
    <xdr:to>
      <xdr:col>11</xdr:col>
      <xdr:colOff>274680</xdr:colOff>
      <xdr:row>3</xdr:row>
      <xdr:rowOff>229320</xdr:rowOff>
    </xdr:to>
    <xdr:pic>
      <xdr:nvPicPr>
        <xdr:cNvPr id="39" name="Imagen 4" descr=""/>
        <xdr:cNvPicPr/>
      </xdr:nvPicPr>
      <xdr:blipFill>
        <a:blip r:embed="rId2"/>
        <a:stretch/>
      </xdr:blipFill>
      <xdr:spPr>
        <a:xfrm>
          <a:off x="9529560" y="0"/>
          <a:ext cx="6717960" cy="1496160"/>
        </a:xfrm>
        <a:prstGeom prst="rect">
          <a:avLst/>
        </a:prstGeom>
        <a:ln w="0">
          <a:noFill/>
        </a:ln>
      </xdr:spPr>
    </xdr:pic>
    <xdr:clientData/>
  </xdr:twoCellAnchor>
  <xdr:twoCellAnchor editAs="oneCell">
    <xdr:from>
      <xdr:col>5</xdr:col>
      <xdr:colOff>959760</xdr:colOff>
      <xdr:row>11</xdr:row>
      <xdr:rowOff>384120</xdr:rowOff>
    </xdr:from>
    <xdr:to>
      <xdr:col>6</xdr:col>
      <xdr:colOff>755280</xdr:colOff>
      <xdr:row>11</xdr:row>
      <xdr:rowOff>1600200</xdr:rowOff>
    </xdr:to>
    <xdr:pic>
      <xdr:nvPicPr>
        <xdr:cNvPr id="40" name="Imagen 6" descr="Forma&#10;&#10;Descripción generada automáticamente con confianza media"/>
        <xdr:cNvPicPr/>
      </xdr:nvPicPr>
      <xdr:blipFill>
        <a:blip r:embed="rId3"/>
        <a:srcRect l="89567" t="4329" r="4407" b="85596"/>
        <a:stretch/>
      </xdr:blipFill>
      <xdr:spPr>
        <a:xfrm>
          <a:off x="8649000" y="11718720"/>
          <a:ext cx="1646640" cy="1216080"/>
        </a:xfrm>
        <a:prstGeom prst="rect">
          <a:avLst/>
        </a:prstGeom>
        <a:ln w="0">
          <a:noFill/>
        </a:ln>
      </xdr:spPr>
    </xdr:pic>
    <xdr:clientData/>
  </xdr:twoCellAnchor>
  <xdr:twoCellAnchor editAs="oneCell">
    <xdr:from>
      <xdr:col>6</xdr:col>
      <xdr:colOff>147960</xdr:colOff>
      <xdr:row>11</xdr:row>
      <xdr:rowOff>294480</xdr:rowOff>
    </xdr:from>
    <xdr:to>
      <xdr:col>11</xdr:col>
      <xdr:colOff>434880</xdr:colOff>
      <xdr:row>12</xdr:row>
      <xdr:rowOff>162000</xdr:rowOff>
    </xdr:to>
    <xdr:pic>
      <xdr:nvPicPr>
        <xdr:cNvPr id="41" name="Imagen 7" descr=""/>
        <xdr:cNvPicPr/>
      </xdr:nvPicPr>
      <xdr:blipFill>
        <a:blip r:embed="rId4"/>
        <a:stretch/>
      </xdr:blipFill>
      <xdr:spPr>
        <a:xfrm>
          <a:off x="9688320" y="11629080"/>
          <a:ext cx="6719400" cy="1505880"/>
        </a:xfrm>
        <a:prstGeom prst="rect">
          <a:avLst/>
        </a:prstGeom>
        <a:ln w="0">
          <a:noFill/>
        </a:ln>
      </xdr:spPr>
    </xdr:pic>
    <xdr:clientData/>
  </xdr:twoCellAnchor>
  <xdr:twoCellAnchor editAs="oneCell">
    <xdr:from>
      <xdr:col>6</xdr:col>
      <xdr:colOff>147960</xdr:colOff>
      <xdr:row>11</xdr:row>
      <xdr:rowOff>294480</xdr:rowOff>
    </xdr:from>
    <xdr:to>
      <xdr:col>11</xdr:col>
      <xdr:colOff>434880</xdr:colOff>
      <xdr:row>12</xdr:row>
      <xdr:rowOff>162000</xdr:rowOff>
    </xdr:to>
    <xdr:pic>
      <xdr:nvPicPr>
        <xdr:cNvPr id="42" name="Imagen 7" descr=""/>
        <xdr:cNvPicPr/>
      </xdr:nvPicPr>
      <xdr:blipFill>
        <a:blip r:embed="rId5"/>
        <a:stretch/>
      </xdr:blipFill>
      <xdr:spPr>
        <a:xfrm>
          <a:off x="9688320" y="11629080"/>
          <a:ext cx="6719400" cy="1505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1084680</xdr:colOff>
      <xdr:row>0</xdr:row>
      <xdr:rowOff>133560</xdr:rowOff>
    </xdr:from>
    <xdr:to>
      <xdr:col>3</xdr:col>
      <xdr:colOff>218520</xdr:colOff>
      <xdr:row>2</xdr:row>
      <xdr:rowOff>266760</xdr:rowOff>
    </xdr:to>
    <xdr:pic>
      <xdr:nvPicPr>
        <xdr:cNvPr id="43" name="Imagen 1" descr="Forma&#10;&#10;Descripción generada automáticamente con confianza media"/>
        <xdr:cNvPicPr/>
      </xdr:nvPicPr>
      <xdr:blipFill>
        <a:blip r:embed="rId1"/>
        <a:srcRect l="89567" t="4329" r="4407" b="85596"/>
        <a:stretch/>
      </xdr:blipFill>
      <xdr:spPr>
        <a:xfrm>
          <a:off x="4798080" y="133560"/>
          <a:ext cx="984960" cy="714240"/>
        </a:xfrm>
        <a:prstGeom prst="rect">
          <a:avLst/>
        </a:prstGeom>
        <a:ln w="0">
          <a:noFill/>
        </a:ln>
      </xdr:spPr>
    </xdr:pic>
    <xdr:clientData/>
  </xdr:twoCellAnchor>
  <xdr:twoCellAnchor editAs="oneCell">
    <xdr:from>
      <xdr:col>1</xdr:col>
      <xdr:colOff>0</xdr:colOff>
      <xdr:row>3</xdr:row>
      <xdr:rowOff>65880</xdr:rowOff>
    </xdr:from>
    <xdr:to>
      <xdr:col>6</xdr:col>
      <xdr:colOff>24840</xdr:colOff>
      <xdr:row>3</xdr:row>
      <xdr:rowOff>486000</xdr:rowOff>
    </xdr:to>
    <xdr:sp>
      <xdr:nvSpPr>
        <xdr:cNvPr id="44" name="Rectángulo: esquinas redondeadas 2"/>
        <xdr:cNvSpPr/>
      </xdr:nvSpPr>
      <xdr:spPr>
        <a:xfrm>
          <a:off x="399240" y="913680"/>
          <a:ext cx="12114720" cy="420120"/>
        </a:xfrm>
        <a:prstGeom prst="roundRect">
          <a:avLst>
            <a:gd name="adj" fmla="val 16667"/>
          </a:avLst>
        </a:prstGeom>
        <a:solidFill>
          <a:srgbClr val="39a900"/>
        </a:solidFill>
        <a:ln w="19080">
          <a:solidFill>
            <a:srgbClr val="47ad23"/>
          </a:solidFill>
          <a:miter/>
        </a:ln>
      </xdr:spPr>
      <xdr:style>
        <a:lnRef idx="0"/>
        <a:fillRef idx="0"/>
        <a:effectRef idx="0"/>
        <a:fontRef idx="minor"/>
      </xdr:style>
      <xdr:txBody>
        <a:bodyPr lIns="20160" rIns="20160" tIns="20160" bIns="20160" anchor="ctr">
          <a:noAutofit/>
        </a:bodyPr>
        <a:p>
          <a:pPr algn="ctr"/>
          <a:r>
            <a:rPr b="1" lang="es-ES" sz="2000" spc="-1" strike="noStrike">
              <a:solidFill>
                <a:srgbClr val="ffffff"/>
              </a:solidFill>
              <a:latin typeface="Century Gothic"/>
            </a:rPr>
            <a:t>MODELO FINANCIERO</a:t>
          </a:r>
          <a:endParaRPr b="0" lang="es-ES" sz="2000" spc="-1" strike="noStrike">
            <a:latin typeface="Times New Roman"/>
          </a:endParaRPr>
        </a:p>
      </xdr:txBody>
    </xdr:sp>
    <xdr:clientData/>
  </xdr:twoCellAnchor>
  <xdr:twoCellAnchor editAs="oneCell">
    <xdr:from>
      <xdr:col>2</xdr:col>
      <xdr:colOff>1404720</xdr:colOff>
      <xdr:row>0</xdr:row>
      <xdr:rowOff>0</xdr:rowOff>
    </xdr:from>
    <xdr:to>
      <xdr:col>4</xdr:col>
      <xdr:colOff>1613880</xdr:colOff>
      <xdr:row>3</xdr:row>
      <xdr:rowOff>113400</xdr:rowOff>
    </xdr:to>
    <xdr:pic>
      <xdr:nvPicPr>
        <xdr:cNvPr id="45" name="Imagen 3" descr=""/>
        <xdr:cNvPicPr/>
      </xdr:nvPicPr>
      <xdr:blipFill>
        <a:blip r:embed="rId2"/>
        <a:stretch/>
      </xdr:blipFill>
      <xdr:spPr>
        <a:xfrm>
          <a:off x="5118120" y="0"/>
          <a:ext cx="4368600" cy="9612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2021760</xdr:colOff>
      <xdr:row>0</xdr:row>
      <xdr:rowOff>133560</xdr:rowOff>
    </xdr:from>
    <xdr:to>
      <xdr:col>6</xdr:col>
      <xdr:colOff>49680</xdr:colOff>
      <xdr:row>3</xdr:row>
      <xdr:rowOff>114840</xdr:rowOff>
    </xdr:to>
    <xdr:pic>
      <xdr:nvPicPr>
        <xdr:cNvPr id="46" name="Imagen 1" descr="Forma&#10;&#10;Descripción generada automáticamente con confianza media"/>
        <xdr:cNvPicPr/>
      </xdr:nvPicPr>
      <xdr:blipFill>
        <a:blip r:embed="rId1"/>
        <a:srcRect l="89567" t="4329" r="4407" b="85596"/>
        <a:stretch/>
      </xdr:blipFill>
      <xdr:spPr>
        <a:xfrm>
          <a:off x="11471040" y="133560"/>
          <a:ext cx="622080" cy="609840"/>
        </a:xfrm>
        <a:prstGeom prst="rect">
          <a:avLst/>
        </a:prstGeom>
        <a:ln w="0">
          <a:noFill/>
        </a:ln>
      </xdr:spPr>
    </xdr:pic>
    <xdr:clientData/>
  </xdr:twoCellAnchor>
  <xdr:twoCellAnchor editAs="oneCell">
    <xdr:from>
      <xdr:col>5</xdr:col>
      <xdr:colOff>2239560</xdr:colOff>
      <xdr:row>0</xdr:row>
      <xdr:rowOff>0</xdr:rowOff>
    </xdr:from>
    <xdr:to>
      <xdr:col>7</xdr:col>
      <xdr:colOff>323280</xdr:colOff>
      <xdr:row>4</xdr:row>
      <xdr:rowOff>152280</xdr:rowOff>
    </xdr:to>
    <xdr:pic>
      <xdr:nvPicPr>
        <xdr:cNvPr id="47" name="Imagen 25" descr=""/>
        <xdr:cNvPicPr/>
      </xdr:nvPicPr>
      <xdr:blipFill>
        <a:blip r:embed="rId2"/>
        <a:stretch/>
      </xdr:blipFill>
      <xdr:spPr>
        <a:xfrm>
          <a:off x="11688840" y="0"/>
          <a:ext cx="3351960" cy="99036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mdrrodriguezm/Dropbox/2024/SENA/FONDO%20EMPRENDER/MODELO%20CAMPESINOS/CAJA%20DE%20HERRAMIENTAS/PROYECTO%20ECONOM&#205;A%20CAMPESINA%20VF16112024.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ep-Mun"/>
      <sheetName val="Sectores"/>
      <sheetName val="PROYECTO"/>
      <sheetName val="GRUPO ASOCIATIVO"/>
      <sheetName val="MODELO FINANCIERO"/>
      <sheetName val="Hoja2"/>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www.ai4u.com.co/" TargetMode="External"/><Relationship Id="rId2"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108"/>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O14" activeCellId="0" sqref="O14"/>
    </sheetView>
  </sheetViews>
  <sheetFormatPr defaultColWidth="10.96875" defaultRowHeight="15" zeroHeight="false" outlineLevelRow="0" outlineLevelCol="0"/>
  <cols>
    <col collapsed="false" customWidth="true" hidden="false" outlineLevel="0" max="4" min="4" style="0" width="22.42"/>
  </cols>
  <sheetData>
    <row r="1" customFormat="false" ht="27"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24</v>
      </c>
      <c r="Z1" s="1" t="s">
        <v>25</v>
      </c>
      <c r="AA1" s="1" t="s">
        <v>26</v>
      </c>
      <c r="AB1" s="1" t="s">
        <v>27</v>
      </c>
      <c r="AC1" s="1" t="s">
        <v>28</v>
      </c>
      <c r="AD1" s="1" t="s">
        <v>29</v>
      </c>
      <c r="AE1" s="1" t="s">
        <v>30</v>
      </c>
      <c r="AF1" s="1" t="s">
        <v>31</v>
      </c>
      <c r="AG1" s="1" t="s">
        <v>32</v>
      </c>
    </row>
    <row r="2" customFormat="false" ht="15" hidden="false" customHeight="false" outlineLevel="0" collapsed="false">
      <c r="A2" s="3" t="s">
        <v>33</v>
      </c>
      <c r="B2" s="3" t="s">
        <v>34</v>
      </c>
      <c r="C2" s="3" t="s">
        <v>2</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c r="S2" s="3" t="s">
        <v>50</v>
      </c>
      <c r="T2" s="3" t="s">
        <v>51</v>
      </c>
      <c r="U2" s="3" t="s">
        <v>52</v>
      </c>
      <c r="V2" s="3" t="s">
        <v>53</v>
      </c>
      <c r="W2" s="3" t="s">
        <v>54</v>
      </c>
      <c r="X2" s="3" t="s">
        <v>55</v>
      </c>
      <c r="Y2" s="3" t="s">
        <v>56</v>
      </c>
      <c r="Z2" s="3" t="s">
        <v>57</v>
      </c>
      <c r="AA2" s="3" t="s">
        <v>58</v>
      </c>
      <c r="AB2" s="3" t="s">
        <v>59</v>
      </c>
      <c r="AC2" s="3" t="s">
        <v>60</v>
      </c>
      <c r="AD2" s="3" t="s">
        <v>61</v>
      </c>
      <c r="AE2" s="3" t="s">
        <v>62</v>
      </c>
      <c r="AF2" s="3" t="s">
        <v>63</v>
      </c>
      <c r="AG2" s="3" t="s">
        <v>64</v>
      </c>
    </row>
    <row r="3" customFormat="false" ht="15" hidden="false" customHeight="false" outlineLevel="0" collapsed="false">
      <c r="A3" s="3" t="s">
        <v>65</v>
      </c>
      <c r="B3" s="3" t="s">
        <v>66</v>
      </c>
      <c r="C3" s="3" t="s">
        <v>67</v>
      </c>
      <c r="D3" s="3" t="s">
        <v>68</v>
      </c>
      <c r="E3" s="3" t="s">
        <v>69</v>
      </c>
      <c r="G3" s="3" t="s">
        <v>70</v>
      </c>
      <c r="H3" s="3" t="s">
        <v>71</v>
      </c>
      <c r="I3" s="3" t="s">
        <v>72</v>
      </c>
      <c r="J3" s="3" t="s">
        <v>73</v>
      </c>
      <c r="K3" s="3" t="s">
        <v>74</v>
      </c>
      <c r="L3" s="3" t="s">
        <v>75</v>
      </c>
      <c r="M3" s="3" t="s">
        <v>76</v>
      </c>
      <c r="N3" s="3" t="s">
        <v>77</v>
      </c>
      <c r="O3" s="3" t="s">
        <v>78</v>
      </c>
      <c r="P3" s="3" t="s">
        <v>79</v>
      </c>
      <c r="Q3" s="3" t="s">
        <v>80</v>
      </c>
      <c r="R3" s="3" t="s">
        <v>81</v>
      </c>
      <c r="S3" s="3" t="s">
        <v>82</v>
      </c>
      <c r="T3" s="3" t="s">
        <v>73</v>
      </c>
      <c r="U3" s="3" t="s">
        <v>83</v>
      </c>
      <c r="V3" s="3" t="s">
        <v>84</v>
      </c>
      <c r="W3" s="3" t="s">
        <v>79</v>
      </c>
      <c r="X3" s="3" t="s">
        <v>85</v>
      </c>
      <c r="Y3" s="3" t="s">
        <v>86</v>
      </c>
      <c r="Z3" s="3" t="s">
        <v>87</v>
      </c>
      <c r="AA3" s="3" t="s">
        <v>88</v>
      </c>
      <c r="AB3" s="3" t="s">
        <v>89</v>
      </c>
      <c r="AC3" s="3" t="s">
        <v>87</v>
      </c>
      <c r="AD3" s="3" t="s">
        <v>90</v>
      </c>
      <c r="AE3" s="3" t="s">
        <v>91</v>
      </c>
      <c r="AF3" s="3" t="s">
        <v>92</v>
      </c>
      <c r="AG3" s="3" t="s">
        <v>93</v>
      </c>
    </row>
    <row r="4" customFormat="false" ht="15" hidden="false" customHeight="false" outlineLevel="0" collapsed="false">
      <c r="A4" s="3" t="s">
        <v>94</v>
      </c>
      <c r="B4" s="3" t="s">
        <v>95</v>
      </c>
      <c r="C4" s="3" t="s">
        <v>96</v>
      </c>
      <c r="E4" s="3" t="s">
        <v>97</v>
      </c>
      <c r="G4" s="3" t="s">
        <v>98</v>
      </c>
      <c r="H4" s="3" t="s">
        <v>99</v>
      </c>
      <c r="I4" s="3" t="s">
        <v>100</v>
      </c>
      <c r="J4" s="3" t="s">
        <v>101</v>
      </c>
      <c r="K4" s="3" t="s">
        <v>102</v>
      </c>
      <c r="L4" s="3" t="s">
        <v>103</v>
      </c>
      <c r="M4" s="3" t="s">
        <v>104</v>
      </c>
      <c r="N4" s="3" t="s">
        <v>105</v>
      </c>
      <c r="O4" s="3" t="s">
        <v>87</v>
      </c>
      <c r="P4" s="3" t="s">
        <v>106</v>
      </c>
      <c r="Q4" s="3" t="s">
        <v>107</v>
      </c>
      <c r="R4" s="3" t="s">
        <v>108</v>
      </c>
      <c r="S4" s="3" t="s">
        <v>109</v>
      </c>
      <c r="T4" s="3" t="s">
        <v>110</v>
      </c>
      <c r="U4" s="3" t="s">
        <v>111</v>
      </c>
      <c r="V4" s="3" t="s">
        <v>112</v>
      </c>
      <c r="W4" s="3" t="s">
        <v>113</v>
      </c>
      <c r="X4" s="3" t="s">
        <v>114</v>
      </c>
      <c r="Y4" s="3" t="s">
        <v>115</v>
      </c>
      <c r="Z4" s="3" t="s">
        <v>116</v>
      </c>
      <c r="AA4" s="3" t="s">
        <v>117</v>
      </c>
      <c r="AB4" s="3" t="s">
        <v>73</v>
      </c>
      <c r="AC4" s="3" t="s">
        <v>118</v>
      </c>
      <c r="AD4" s="3" t="s">
        <v>119</v>
      </c>
      <c r="AE4" s="3" t="s">
        <v>120</v>
      </c>
      <c r="AF4" s="3" t="s">
        <v>121</v>
      </c>
      <c r="AG4" s="3" t="s">
        <v>122</v>
      </c>
    </row>
    <row r="5" customFormat="false" ht="15" hidden="false" customHeight="false" outlineLevel="0" collapsed="false">
      <c r="A5" s="3" t="s">
        <v>123</v>
      </c>
      <c r="B5" s="3" t="s">
        <v>124</v>
      </c>
      <c r="C5" s="3" t="s">
        <v>125</v>
      </c>
      <c r="E5" s="3" t="s">
        <v>126</v>
      </c>
      <c r="G5" s="3" t="s">
        <v>127</v>
      </c>
      <c r="H5" s="3" t="s">
        <v>128</v>
      </c>
      <c r="I5" s="3" t="s">
        <v>129</v>
      </c>
      <c r="J5" s="3" t="s">
        <v>130</v>
      </c>
      <c r="K5" s="3" t="s">
        <v>131</v>
      </c>
      <c r="L5" s="3" t="s">
        <v>117</v>
      </c>
      <c r="M5" s="3" t="s">
        <v>132</v>
      </c>
      <c r="N5" s="3" t="s">
        <v>133</v>
      </c>
      <c r="O5" s="3" t="s">
        <v>134</v>
      </c>
      <c r="P5" s="3" t="s">
        <v>135</v>
      </c>
      <c r="Q5" s="3" t="s">
        <v>136</v>
      </c>
      <c r="R5" s="3" t="s">
        <v>137</v>
      </c>
      <c r="S5" s="3" t="s">
        <v>138</v>
      </c>
      <c r="T5" s="3" t="s">
        <v>139</v>
      </c>
      <c r="U5" s="3" t="s">
        <v>140</v>
      </c>
      <c r="V5" s="3" t="s">
        <v>141</v>
      </c>
      <c r="W5" s="3" t="s">
        <v>142</v>
      </c>
      <c r="X5" s="3" t="s">
        <v>143</v>
      </c>
      <c r="Y5" s="3" t="s">
        <v>144</v>
      </c>
      <c r="Z5" s="3" t="s">
        <v>145</v>
      </c>
      <c r="AA5" s="3" t="s">
        <v>146</v>
      </c>
      <c r="AB5" s="3" t="s">
        <v>147</v>
      </c>
      <c r="AC5" s="3" t="s">
        <v>148</v>
      </c>
      <c r="AD5" s="3" t="s">
        <v>149</v>
      </c>
      <c r="AE5" s="3" t="s">
        <v>150</v>
      </c>
      <c r="AF5" s="3" t="s">
        <v>151</v>
      </c>
      <c r="AG5" s="3" t="s">
        <v>152</v>
      </c>
    </row>
    <row r="6" customFormat="false" ht="15" hidden="false" customHeight="false" outlineLevel="0" collapsed="false">
      <c r="A6" s="3" t="s">
        <v>153</v>
      </c>
      <c r="B6" s="3" t="s">
        <v>154</v>
      </c>
      <c r="C6" s="3" t="s">
        <v>155</v>
      </c>
      <c r="E6" s="3" t="s">
        <v>156</v>
      </c>
      <c r="G6" s="3" t="s">
        <v>157</v>
      </c>
      <c r="H6" s="3" t="s">
        <v>158</v>
      </c>
      <c r="I6" s="3" t="s">
        <v>159</v>
      </c>
      <c r="J6" s="3" t="s">
        <v>160</v>
      </c>
      <c r="K6" s="3" t="s">
        <v>161</v>
      </c>
      <c r="L6" s="3" t="s">
        <v>6</v>
      </c>
      <c r="M6" s="3" t="s">
        <v>162</v>
      </c>
      <c r="N6" s="3" t="s">
        <v>163</v>
      </c>
      <c r="O6" s="3" t="s">
        <v>164</v>
      </c>
      <c r="P6" s="3" t="s">
        <v>165</v>
      </c>
      <c r="Q6" s="3" t="s">
        <v>166</v>
      </c>
      <c r="S6" s="3" t="s">
        <v>167</v>
      </c>
      <c r="T6" s="3" t="s">
        <v>168</v>
      </c>
      <c r="U6" s="3" t="s">
        <v>169</v>
      </c>
      <c r="V6" s="3" t="s">
        <v>170</v>
      </c>
      <c r="W6" s="3" t="s">
        <v>171</v>
      </c>
      <c r="X6" s="3" t="s">
        <v>172</v>
      </c>
      <c r="Y6" s="3" t="s">
        <v>173</v>
      </c>
      <c r="Z6" s="3" t="s">
        <v>14</v>
      </c>
      <c r="AA6" s="3" t="s">
        <v>174</v>
      </c>
      <c r="AB6" s="3" t="s">
        <v>175</v>
      </c>
      <c r="AC6" s="3" t="s">
        <v>176</v>
      </c>
      <c r="AD6" s="3" t="s">
        <v>177</v>
      </c>
      <c r="AE6" s="3" t="s">
        <v>103</v>
      </c>
      <c r="AF6" s="3" t="s">
        <v>178</v>
      </c>
    </row>
    <row r="7" customFormat="false" ht="15" hidden="false" customHeight="false" outlineLevel="0" collapsed="false">
      <c r="A7" s="3" t="s">
        <v>179</v>
      </c>
      <c r="B7" s="3" t="s">
        <v>180</v>
      </c>
      <c r="C7" s="3" t="s">
        <v>181</v>
      </c>
      <c r="E7" s="3" t="s">
        <v>182</v>
      </c>
      <c r="G7" s="3" t="s">
        <v>183</v>
      </c>
      <c r="H7" s="3" t="s">
        <v>184</v>
      </c>
      <c r="I7" s="3" t="s">
        <v>185</v>
      </c>
      <c r="J7" s="3" t="s">
        <v>186</v>
      </c>
      <c r="K7" s="3" t="s">
        <v>187</v>
      </c>
      <c r="L7" s="3" t="s">
        <v>188</v>
      </c>
      <c r="M7" s="3" t="s">
        <v>189</v>
      </c>
      <c r="N7" s="3" t="s">
        <v>190</v>
      </c>
      <c r="O7" s="3" t="s">
        <v>191</v>
      </c>
      <c r="P7" s="3" t="s">
        <v>192</v>
      </c>
      <c r="Q7" s="3" t="s">
        <v>193</v>
      </c>
      <c r="S7" s="3" t="s">
        <v>194</v>
      </c>
      <c r="T7" s="3" t="s">
        <v>195</v>
      </c>
      <c r="U7" s="3" t="s">
        <v>196</v>
      </c>
      <c r="V7" s="3" t="s">
        <v>197</v>
      </c>
      <c r="W7" s="3" t="s">
        <v>198</v>
      </c>
      <c r="X7" s="3" t="s">
        <v>199</v>
      </c>
      <c r="Y7" s="3" t="s">
        <v>200</v>
      </c>
      <c r="Z7" s="3" t="s">
        <v>201</v>
      </c>
      <c r="AA7" s="3" t="s">
        <v>202</v>
      </c>
      <c r="AB7" s="3" t="s">
        <v>203</v>
      </c>
      <c r="AC7" s="3" t="s">
        <v>204</v>
      </c>
      <c r="AD7" s="3" t="s">
        <v>205</v>
      </c>
      <c r="AE7" s="3" t="s">
        <v>6</v>
      </c>
      <c r="AF7" s="3" t="s">
        <v>206</v>
      </c>
    </row>
    <row r="8" customFormat="false" ht="15" hidden="false" customHeight="false" outlineLevel="0" collapsed="false">
      <c r="A8" s="3" t="s">
        <v>207</v>
      </c>
      <c r="B8" s="3" t="s">
        <v>208</v>
      </c>
      <c r="C8" s="3" t="s">
        <v>209</v>
      </c>
      <c r="E8" s="3" t="s">
        <v>210</v>
      </c>
      <c r="G8" s="3" t="s">
        <v>211</v>
      </c>
      <c r="H8" s="3" t="s">
        <v>212</v>
      </c>
      <c r="I8" s="3" t="s">
        <v>213</v>
      </c>
      <c r="J8" s="3" t="s">
        <v>214</v>
      </c>
      <c r="K8" s="3" t="s">
        <v>215</v>
      </c>
      <c r="L8" s="3" t="s">
        <v>216</v>
      </c>
      <c r="M8" s="3" t="s">
        <v>217</v>
      </c>
      <c r="N8" s="3" t="s">
        <v>218</v>
      </c>
      <c r="O8" s="3" t="s">
        <v>219</v>
      </c>
      <c r="P8" s="3" t="s">
        <v>220</v>
      </c>
      <c r="Q8" s="3" t="s">
        <v>221</v>
      </c>
      <c r="S8" s="3" t="s">
        <v>222</v>
      </c>
      <c r="T8" s="3" t="s">
        <v>223</v>
      </c>
      <c r="U8" s="3" t="s">
        <v>224</v>
      </c>
      <c r="V8" s="3" t="s">
        <v>225</v>
      </c>
      <c r="W8" s="3" t="s">
        <v>158</v>
      </c>
      <c r="X8" s="3" t="s">
        <v>226</v>
      </c>
      <c r="Y8" s="3" t="s">
        <v>227</v>
      </c>
      <c r="Z8" s="3" t="s">
        <v>228</v>
      </c>
      <c r="AA8" s="3" t="s">
        <v>229</v>
      </c>
      <c r="AB8" s="3" t="s">
        <v>230</v>
      </c>
      <c r="AC8" s="3" t="s">
        <v>231</v>
      </c>
      <c r="AD8" s="3" t="s">
        <v>232</v>
      </c>
      <c r="AE8" s="3" t="s">
        <v>233</v>
      </c>
    </row>
    <row r="9" customFormat="false" ht="15" hidden="false" customHeight="false" outlineLevel="0" collapsed="false">
      <c r="A9" s="3" t="s">
        <v>234</v>
      </c>
      <c r="B9" s="3" t="s">
        <v>235</v>
      </c>
      <c r="E9" s="3" t="s">
        <v>236</v>
      </c>
      <c r="G9" s="3" t="s">
        <v>81</v>
      </c>
      <c r="H9" s="3" t="s">
        <v>237</v>
      </c>
      <c r="I9" s="3" t="s">
        <v>238</v>
      </c>
      <c r="J9" s="3" t="s">
        <v>239</v>
      </c>
      <c r="K9" s="3" t="s">
        <v>240</v>
      </c>
      <c r="L9" s="3" t="s">
        <v>241</v>
      </c>
      <c r="M9" s="3" t="s">
        <v>242</v>
      </c>
      <c r="N9" s="3" t="s">
        <v>243</v>
      </c>
      <c r="O9" s="3" t="s">
        <v>244</v>
      </c>
      <c r="P9" s="3" t="s">
        <v>245</v>
      </c>
      <c r="Q9" s="3" t="s">
        <v>246</v>
      </c>
      <c r="S9" s="3" t="s">
        <v>247</v>
      </c>
      <c r="T9" s="3" t="s">
        <v>248</v>
      </c>
      <c r="U9" s="3" t="s">
        <v>249</v>
      </c>
      <c r="V9" s="3" t="s">
        <v>250</v>
      </c>
      <c r="W9" s="3" t="s">
        <v>251</v>
      </c>
      <c r="X9" s="3" t="s">
        <v>252</v>
      </c>
      <c r="Y9" s="3" t="s">
        <v>253</v>
      </c>
      <c r="Z9" s="3" t="s">
        <v>254</v>
      </c>
      <c r="AA9" s="3" t="s">
        <v>255</v>
      </c>
      <c r="AB9" s="3" t="s">
        <v>256</v>
      </c>
      <c r="AC9" s="3" t="s">
        <v>257</v>
      </c>
      <c r="AD9" s="3" t="s">
        <v>258</v>
      </c>
      <c r="AE9" s="3" t="s">
        <v>259</v>
      </c>
    </row>
    <row r="10" customFormat="false" ht="15" hidden="false" customHeight="false" outlineLevel="0" collapsed="false">
      <c r="A10" s="3" t="s">
        <v>260</v>
      </c>
      <c r="B10" s="3" t="s">
        <v>261</v>
      </c>
      <c r="E10" s="3" t="s">
        <v>262</v>
      </c>
      <c r="G10" s="3" t="s">
        <v>263</v>
      </c>
      <c r="H10" s="3" t="s">
        <v>7</v>
      </c>
      <c r="I10" s="3" t="s">
        <v>264</v>
      </c>
      <c r="J10" s="3" t="s">
        <v>265</v>
      </c>
      <c r="K10" s="3" t="s">
        <v>266</v>
      </c>
      <c r="L10" s="3" t="s">
        <v>267</v>
      </c>
      <c r="M10" s="3" t="s">
        <v>268</v>
      </c>
      <c r="N10" s="3" t="s">
        <v>269</v>
      </c>
      <c r="O10" s="3" t="s">
        <v>270</v>
      </c>
      <c r="P10" s="3" t="s">
        <v>271</v>
      </c>
      <c r="S10" s="3" t="s">
        <v>272</v>
      </c>
      <c r="T10" s="3" t="s">
        <v>273</v>
      </c>
      <c r="U10" s="3" t="s">
        <v>274</v>
      </c>
      <c r="V10" s="3" t="s">
        <v>275</v>
      </c>
      <c r="W10" s="3" t="s">
        <v>86</v>
      </c>
      <c r="X10" s="3" t="s">
        <v>276</v>
      </c>
      <c r="Y10" s="3" t="s">
        <v>277</v>
      </c>
      <c r="Z10" s="3" t="s">
        <v>278</v>
      </c>
      <c r="AA10" s="3" t="s">
        <v>279</v>
      </c>
      <c r="AB10" s="3" t="s">
        <v>6</v>
      </c>
      <c r="AC10" s="3" t="s">
        <v>280</v>
      </c>
      <c r="AD10" s="3" t="s">
        <v>281</v>
      </c>
      <c r="AE10" s="3" t="s">
        <v>282</v>
      </c>
    </row>
    <row r="11" customFormat="false" ht="15" hidden="false" customHeight="false" outlineLevel="0" collapsed="false">
      <c r="A11" s="3" t="s">
        <v>283</v>
      </c>
      <c r="B11" s="3" t="s">
        <v>284</v>
      </c>
      <c r="E11" s="3" t="s">
        <v>285</v>
      </c>
      <c r="G11" s="3" t="s">
        <v>286</v>
      </c>
      <c r="H11" s="3" t="s">
        <v>287</v>
      </c>
      <c r="I11" s="3" t="s">
        <v>288</v>
      </c>
      <c r="J11" s="3" t="s">
        <v>289</v>
      </c>
      <c r="K11" s="3" t="s">
        <v>290</v>
      </c>
      <c r="L11" s="3" t="s">
        <v>291</v>
      </c>
      <c r="M11" s="3" t="s">
        <v>292</v>
      </c>
      <c r="N11" s="3" t="s">
        <v>293</v>
      </c>
      <c r="O11" s="3" t="s">
        <v>294</v>
      </c>
      <c r="P11" s="3" t="s">
        <v>295</v>
      </c>
      <c r="S11" s="3" t="s">
        <v>296</v>
      </c>
      <c r="T11" s="3" t="s">
        <v>297</v>
      </c>
      <c r="U11" s="3" t="s">
        <v>298</v>
      </c>
      <c r="V11" s="3" t="s">
        <v>299</v>
      </c>
      <c r="W11" s="3" t="s">
        <v>300</v>
      </c>
      <c r="X11" s="3" t="s">
        <v>301</v>
      </c>
      <c r="Y11" s="3" t="s">
        <v>302</v>
      </c>
      <c r="Z11" s="3" t="s">
        <v>303</v>
      </c>
      <c r="AA11" s="3" t="s">
        <v>304</v>
      </c>
      <c r="AB11" s="3" t="s">
        <v>271</v>
      </c>
      <c r="AC11" s="3" t="s">
        <v>305</v>
      </c>
      <c r="AD11" s="3" t="s">
        <v>306</v>
      </c>
      <c r="AE11" s="3" t="s">
        <v>307</v>
      </c>
    </row>
    <row r="12" customFormat="false" ht="15" hidden="false" customHeight="false" outlineLevel="0" collapsed="false">
      <c r="A12" s="3" t="s">
        <v>308</v>
      </c>
      <c r="B12" s="3" t="s">
        <v>309</v>
      </c>
      <c r="E12" s="3" t="s">
        <v>310</v>
      </c>
      <c r="G12" s="3" t="s">
        <v>14</v>
      </c>
      <c r="H12" s="3" t="s">
        <v>87</v>
      </c>
      <c r="I12" s="3" t="s">
        <v>311</v>
      </c>
      <c r="J12" s="3" t="s">
        <v>312</v>
      </c>
      <c r="K12" s="3" t="s">
        <v>313</v>
      </c>
      <c r="L12" s="3" t="s">
        <v>314</v>
      </c>
      <c r="M12" s="3" t="s">
        <v>315</v>
      </c>
      <c r="N12" s="3" t="s">
        <v>316</v>
      </c>
      <c r="O12" s="3" t="s">
        <v>317</v>
      </c>
      <c r="P12" s="3" t="s">
        <v>318</v>
      </c>
      <c r="S12" s="3" t="s">
        <v>319</v>
      </c>
      <c r="T12" s="3" t="s">
        <v>320</v>
      </c>
      <c r="U12" s="3" t="s">
        <v>321</v>
      </c>
      <c r="V12" s="3" t="s">
        <v>322</v>
      </c>
      <c r="W12" s="3" t="s">
        <v>323</v>
      </c>
      <c r="X12" s="3" t="s">
        <v>324</v>
      </c>
      <c r="Y12" s="3" t="s">
        <v>325</v>
      </c>
      <c r="Z12" s="3" t="s">
        <v>326</v>
      </c>
      <c r="AA12" s="3" t="s">
        <v>327</v>
      </c>
      <c r="AB12" s="3" t="s">
        <v>328</v>
      </c>
      <c r="AC12" s="3" t="s">
        <v>329</v>
      </c>
      <c r="AD12" s="3" t="s">
        <v>330</v>
      </c>
      <c r="AE12" s="3" t="s">
        <v>331</v>
      </c>
    </row>
    <row r="13" customFormat="false" ht="15" hidden="false" customHeight="false" outlineLevel="0" collapsed="false">
      <c r="B13" s="3" t="s">
        <v>332</v>
      </c>
      <c r="E13" s="3" t="s">
        <v>333</v>
      </c>
      <c r="G13" s="3" t="s">
        <v>334</v>
      </c>
      <c r="H13" s="3" t="s">
        <v>335</v>
      </c>
      <c r="I13" s="3" t="s">
        <v>336</v>
      </c>
      <c r="J13" s="3" t="s">
        <v>337</v>
      </c>
      <c r="K13" s="3" t="s">
        <v>338</v>
      </c>
      <c r="L13" s="3" t="s">
        <v>41</v>
      </c>
      <c r="M13" s="3" t="s">
        <v>339</v>
      </c>
      <c r="N13" s="3" t="s">
        <v>340</v>
      </c>
      <c r="O13" s="3" t="s">
        <v>341</v>
      </c>
      <c r="P13" s="3" t="s">
        <v>342</v>
      </c>
      <c r="S13" s="3" t="s">
        <v>343</v>
      </c>
      <c r="T13" s="3" t="s">
        <v>344</v>
      </c>
      <c r="U13" s="3" t="s">
        <v>345</v>
      </c>
      <c r="V13" s="3" t="s">
        <v>346</v>
      </c>
      <c r="W13" s="3" t="s">
        <v>14</v>
      </c>
      <c r="X13" s="3" t="s">
        <v>347</v>
      </c>
      <c r="Y13" s="3" t="s">
        <v>348</v>
      </c>
      <c r="Z13" s="3" t="s">
        <v>349</v>
      </c>
      <c r="AA13" s="3" t="s">
        <v>350</v>
      </c>
      <c r="AB13" s="3" t="s">
        <v>351</v>
      </c>
      <c r="AC13" s="3" t="s">
        <v>352</v>
      </c>
      <c r="AD13" s="3" t="s">
        <v>353</v>
      </c>
      <c r="AE13" s="3" t="s">
        <v>126</v>
      </c>
    </row>
    <row r="14" customFormat="false" ht="15" hidden="false" customHeight="false" outlineLevel="0" collapsed="false">
      <c r="B14" s="3" t="s">
        <v>354</v>
      </c>
      <c r="E14" s="3" t="s">
        <v>355</v>
      </c>
      <c r="G14" s="3" t="s">
        <v>356</v>
      </c>
      <c r="H14" s="3" t="s">
        <v>8</v>
      </c>
      <c r="I14" s="3" t="s">
        <v>357</v>
      </c>
      <c r="J14" s="3" t="s">
        <v>358</v>
      </c>
      <c r="K14" s="3" t="s">
        <v>359</v>
      </c>
      <c r="L14" s="3" t="s">
        <v>360</v>
      </c>
      <c r="M14" s="3" t="s">
        <v>361</v>
      </c>
      <c r="N14" s="3" t="s">
        <v>362</v>
      </c>
      <c r="O14" s="3" t="s">
        <v>363</v>
      </c>
      <c r="P14" s="3" t="s">
        <v>364</v>
      </c>
      <c r="S14" s="3" t="s">
        <v>365</v>
      </c>
      <c r="T14" s="3" t="s">
        <v>366</v>
      </c>
      <c r="U14" s="3" t="s">
        <v>367</v>
      </c>
      <c r="V14" s="3" t="s">
        <v>367</v>
      </c>
      <c r="W14" s="3" t="s">
        <v>368</v>
      </c>
      <c r="X14" s="3" t="s">
        <v>369</v>
      </c>
      <c r="Y14" s="3" t="s">
        <v>370</v>
      </c>
      <c r="AA14" s="3" t="s">
        <v>371</v>
      </c>
      <c r="AB14" s="3" t="s">
        <v>372</v>
      </c>
      <c r="AC14" s="3" t="s">
        <v>373</v>
      </c>
      <c r="AD14" s="3" t="s">
        <v>374</v>
      </c>
      <c r="AE14" s="3" t="s">
        <v>375</v>
      </c>
    </row>
    <row r="15" customFormat="false" ht="15" hidden="false" customHeight="false" outlineLevel="0" collapsed="false">
      <c r="B15" s="3" t="s">
        <v>376</v>
      </c>
      <c r="E15" s="3" t="s">
        <v>80</v>
      </c>
      <c r="G15" s="3" t="s">
        <v>377</v>
      </c>
      <c r="H15" s="3" t="s">
        <v>378</v>
      </c>
      <c r="I15" s="3" t="s">
        <v>379</v>
      </c>
      <c r="J15" s="3" t="s">
        <v>380</v>
      </c>
      <c r="K15" s="3" t="s">
        <v>381</v>
      </c>
      <c r="L15" s="3" t="s">
        <v>382</v>
      </c>
      <c r="M15" s="3" t="s">
        <v>383</v>
      </c>
      <c r="N15" s="3" t="s">
        <v>384</v>
      </c>
      <c r="O15" s="3" t="s">
        <v>385</v>
      </c>
      <c r="P15" s="3" t="s">
        <v>386</v>
      </c>
      <c r="S15" s="3" t="s">
        <v>387</v>
      </c>
      <c r="T15" s="3" t="s">
        <v>388</v>
      </c>
      <c r="U15" s="3" t="s">
        <v>389</v>
      </c>
      <c r="V15" s="3" t="s">
        <v>390</v>
      </c>
      <c r="W15" s="3" t="s">
        <v>391</v>
      </c>
      <c r="X15" s="3" t="s">
        <v>392</v>
      </c>
      <c r="AA15" s="3" t="s">
        <v>393</v>
      </c>
      <c r="AB15" s="3" t="s">
        <v>394</v>
      </c>
      <c r="AC15" s="3" t="s">
        <v>395</v>
      </c>
      <c r="AD15" s="3" t="s">
        <v>396</v>
      </c>
      <c r="AE15" s="3" t="s">
        <v>397</v>
      </c>
    </row>
    <row r="16" customFormat="false" ht="15" hidden="false" customHeight="false" outlineLevel="0" collapsed="false">
      <c r="B16" s="3" t="s">
        <v>103</v>
      </c>
      <c r="E16" s="3" t="s">
        <v>398</v>
      </c>
      <c r="G16" s="3" t="s">
        <v>399</v>
      </c>
      <c r="H16" s="3" t="s">
        <v>400</v>
      </c>
      <c r="I16" s="3" t="s">
        <v>401</v>
      </c>
      <c r="J16" s="3" t="s">
        <v>402</v>
      </c>
      <c r="K16" s="3" t="s">
        <v>403</v>
      </c>
      <c r="L16" s="3" t="s">
        <v>404</v>
      </c>
      <c r="M16" s="3" t="s">
        <v>405</v>
      </c>
      <c r="N16" s="3" t="s">
        <v>406</v>
      </c>
      <c r="O16" s="3" t="s">
        <v>407</v>
      </c>
      <c r="P16" s="3" t="s">
        <v>408</v>
      </c>
      <c r="S16" s="3" t="s">
        <v>409</v>
      </c>
      <c r="T16" s="3" t="s">
        <v>410</v>
      </c>
      <c r="U16" s="3" t="s">
        <v>411</v>
      </c>
      <c r="V16" s="3" t="s">
        <v>412</v>
      </c>
      <c r="W16" s="3" t="s">
        <v>413</v>
      </c>
      <c r="X16" s="3" t="s">
        <v>414</v>
      </c>
      <c r="AB16" s="3" t="s">
        <v>415</v>
      </c>
      <c r="AC16" s="3" t="s">
        <v>416</v>
      </c>
      <c r="AD16" s="3" t="s">
        <v>417</v>
      </c>
      <c r="AE16" s="3" t="s">
        <v>418</v>
      </c>
    </row>
    <row r="17" customFormat="false" ht="15" hidden="false" customHeight="false" outlineLevel="0" collapsed="false">
      <c r="B17" s="3" t="s">
        <v>57</v>
      </c>
      <c r="E17" s="3" t="s">
        <v>419</v>
      </c>
      <c r="G17" s="3" t="s">
        <v>420</v>
      </c>
      <c r="H17" s="3" t="s">
        <v>421</v>
      </c>
      <c r="I17" s="3" t="s">
        <v>422</v>
      </c>
      <c r="J17" s="3" t="s">
        <v>423</v>
      </c>
      <c r="K17" s="3" t="s">
        <v>424</v>
      </c>
      <c r="L17" s="3" t="s">
        <v>425</v>
      </c>
      <c r="M17" s="3" t="s">
        <v>426</v>
      </c>
      <c r="N17" s="3" t="s">
        <v>427</v>
      </c>
      <c r="O17" s="3" t="s">
        <v>428</v>
      </c>
      <c r="P17" s="3" t="s">
        <v>429</v>
      </c>
      <c r="S17" s="3" t="s">
        <v>430</v>
      </c>
      <c r="U17" s="3" t="s">
        <v>431</v>
      </c>
      <c r="V17" s="3" t="s">
        <v>432</v>
      </c>
      <c r="W17" s="3" t="s">
        <v>433</v>
      </c>
      <c r="X17" s="3" t="s">
        <v>434</v>
      </c>
      <c r="AB17" s="3" t="s">
        <v>435</v>
      </c>
      <c r="AC17" s="3" t="s">
        <v>436</v>
      </c>
      <c r="AD17" s="3" t="s">
        <v>437</v>
      </c>
      <c r="AE17" s="3" t="s">
        <v>438</v>
      </c>
    </row>
    <row r="18" customFormat="false" ht="15" hidden="false" customHeight="false" outlineLevel="0" collapsed="false">
      <c r="B18" s="3" t="s">
        <v>175</v>
      </c>
      <c r="E18" s="3" t="s">
        <v>359</v>
      </c>
      <c r="G18" s="3" t="s">
        <v>439</v>
      </c>
      <c r="H18" s="3" t="s">
        <v>440</v>
      </c>
      <c r="I18" s="3" t="s">
        <v>441</v>
      </c>
      <c r="K18" s="3" t="s">
        <v>442</v>
      </c>
      <c r="L18" s="3" t="s">
        <v>443</v>
      </c>
      <c r="M18" s="3" t="s">
        <v>444</v>
      </c>
      <c r="N18" s="3" t="s">
        <v>445</v>
      </c>
      <c r="O18" s="3" t="s">
        <v>446</v>
      </c>
      <c r="P18" s="3" t="s">
        <v>447</v>
      </c>
      <c r="S18" s="3" t="s">
        <v>448</v>
      </c>
      <c r="U18" s="3" t="s">
        <v>449</v>
      </c>
      <c r="V18" s="3" t="s">
        <v>450</v>
      </c>
      <c r="W18" s="3" t="s">
        <v>451</v>
      </c>
      <c r="X18" s="3" t="s">
        <v>452</v>
      </c>
      <c r="AB18" s="3" t="s">
        <v>453</v>
      </c>
      <c r="AC18" s="3" t="s">
        <v>454</v>
      </c>
      <c r="AD18" s="3" t="s">
        <v>455</v>
      </c>
      <c r="AE18" s="3" t="s">
        <v>456</v>
      </c>
    </row>
    <row r="19" customFormat="false" ht="15" hidden="false" customHeight="false" outlineLevel="0" collapsed="false">
      <c r="B19" s="3" t="s">
        <v>457</v>
      </c>
      <c r="E19" s="3" t="s">
        <v>458</v>
      </c>
      <c r="G19" s="3" t="s">
        <v>459</v>
      </c>
      <c r="H19" s="3" t="s">
        <v>460</v>
      </c>
      <c r="I19" s="3" t="s">
        <v>461</v>
      </c>
      <c r="K19" s="3" t="s">
        <v>462</v>
      </c>
      <c r="L19" s="3" t="s">
        <v>463</v>
      </c>
      <c r="M19" s="3" t="s">
        <v>464</v>
      </c>
      <c r="N19" s="3" t="s">
        <v>465</v>
      </c>
      <c r="O19" s="3" t="s">
        <v>466</v>
      </c>
      <c r="P19" s="3" t="s">
        <v>467</v>
      </c>
      <c r="S19" s="3" t="s">
        <v>468</v>
      </c>
      <c r="U19" s="3" t="s">
        <v>469</v>
      </c>
      <c r="V19" s="3" t="s">
        <v>470</v>
      </c>
      <c r="W19" s="3" t="s">
        <v>471</v>
      </c>
      <c r="X19" s="3" t="s">
        <v>472</v>
      </c>
      <c r="AB19" s="3" t="s">
        <v>473</v>
      </c>
      <c r="AC19" s="3" t="s">
        <v>474</v>
      </c>
      <c r="AD19" s="3" t="s">
        <v>475</v>
      </c>
      <c r="AE19" s="3" t="s">
        <v>476</v>
      </c>
    </row>
    <row r="20" customFormat="false" ht="15" hidden="false" customHeight="false" outlineLevel="0" collapsed="false">
      <c r="B20" s="3" t="s">
        <v>477</v>
      </c>
      <c r="E20" s="3" t="s">
        <v>478</v>
      </c>
      <c r="G20" s="3" t="s">
        <v>479</v>
      </c>
      <c r="H20" s="3" t="s">
        <v>480</v>
      </c>
      <c r="I20" s="3" t="s">
        <v>481</v>
      </c>
      <c r="K20" s="3" t="s">
        <v>410</v>
      </c>
      <c r="L20" s="3" t="s">
        <v>482</v>
      </c>
      <c r="M20" s="3" t="s">
        <v>483</v>
      </c>
      <c r="N20" s="3" t="s">
        <v>484</v>
      </c>
      <c r="O20" s="3" t="s">
        <v>485</v>
      </c>
      <c r="P20" s="3" t="s">
        <v>486</v>
      </c>
      <c r="S20" s="3" t="s">
        <v>487</v>
      </c>
      <c r="U20" s="3" t="s">
        <v>488</v>
      </c>
      <c r="V20" s="3" t="s">
        <v>489</v>
      </c>
      <c r="W20" s="3" t="s">
        <v>490</v>
      </c>
      <c r="X20" s="3" t="s">
        <v>491</v>
      </c>
      <c r="AB20" s="3" t="s">
        <v>492</v>
      </c>
      <c r="AC20" s="3" t="s">
        <v>493</v>
      </c>
      <c r="AD20" s="3" t="s">
        <v>494</v>
      </c>
      <c r="AE20" s="3" t="s">
        <v>495</v>
      </c>
    </row>
    <row r="21" customFormat="false" ht="15" hidden="false" customHeight="false" outlineLevel="0" collapsed="false">
      <c r="B21" s="3" t="s">
        <v>496</v>
      </c>
      <c r="E21" s="3" t="s">
        <v>497</v>
      </c>
      <c r="G21" s="3" t="s">
        <v>498</v>
      </c>
      <c r="H21" s="3" t="s">
        <v>499</v>
      </c>
      <c r="I21" s="3" t="s">
        <v>26</v>
      </c>
      <c r="L21" s="3" t="s">
        <v>500</v>
      </c>
      <c r="M21" s="3" t="s">
        <v>501</v>
      </c>
      <c r="N21" s="3" t="s">
        <v>502</v>
      </c>
      <c r="O21" s="3" t="s">
        <v>503</v>
      </c>
      <c r="P21" s="3" t="s">
        <v>504</v>
      </c>
      <c r="S21" s="3" t="s">
        <v>505</v>
      </c>
      <c r="U21" s="3" t="s">
        <v>506</v>
      </c>
      <c r="V21" s="3" t="s">
        <v>507</v>
      </c>
      <c r="W21" s="3" t="s">
        <v>508</v>
      </c>
      <c r="X21" s="3" t="s">
        <v>509</v>
      </c>
      <c r="AB21" s="3" t="s">
        <v>510</v>
      </c>
      <c r="AC21" s="3" t="s">
        <v>511</v>
      </c>
      <c r="AD21" s="3" t="s">
        <v>512</v>
      </c>
      <c r="AE21" s="3" t="s">
        <v>513</v>
      </c>
    </row>
    <row r="22" customFormat="false" ht="15" hidden="false" customHeight="false" outlineLevel="0" collapsed="false">
      <c r="B22" s="3" t="s">
        <v>256</v>
      </c>
      <c r="E22" s="3" t="s">
        <v>514</v>
      </c>
      <c r="G22" s="3" t="s">
        <v>515</v>
      </c>
      <c r="H22" s="3" t="s">
        <v>516</v>
      </c>
      <c r="I22" s="3" t="s">
        <v>517</v>
      </c>
      <c r="L22" s="3" t="s">
        <v>518</v>
      </c>
      <c r="M22" s="3" t="s">
        <v>519</v>
      </c>
      <c r="N22" s="3" t="s">
        <v>520</v>
      </c>
      <c r="O22" s="3" t="s">
        <v>521</v>
      </c>
      <c r="P22" s="3" t="s">
        <v>522</v>
      </c>
      <c r="S22" s="3" t="s">
        <v>523</v>
      </c>
      <c r="U22" s="3" t="s">
        <v>524</v>
      </c>
      <c r="V22" s="3" t="s">
        <v>525</v>
      </c>
      <c r="W22" s="3" t="s">
        <v>314</v>
      </c>
      <c r="X22" s="3" t="s">
        <v>526</v>
      </c>
      <c r="AB22" s="3" t="s">
        <v>527</v>
      </c>
      <c r="AC22" s="3" t="s">
        <v>528</v>
      </c>
      <c r="AD22" s="3" t="s">
        <v>529</v>
      </c>
      <c r="AE22" s="3" t="s">
        <v>530</v>
      </c>
    </row>
    <row r="23" customFormat="false" ht="15" hidden="false" customHeight="false" outlineLevel="0" collapsed="false">
      <c r="B23" s="3" t="s">
        <v>531</v>
      </c>
      <c r="E23" s="3" t="s">
        <v>532</v>
      </c>
      <c r="G23" s="3" t="s">
        <v>533</v>
      </c>
      <c r="H23" s="3" t="s">
        <v>534</v>
      </c>
      <c r="I23" s="3" t="s">
        <v>535</v>
      </c>
      <c r="L23" s="3" t="s">
        <v>536</v>
      </c>
      <c r="M23" s="3" t="s">
        <v>537</v>
      </c>
      <c r="N23" s="3" t="s">
        <v>538</v>
      </c>
      <c r="O23" s="3" t="s">
        <v>539</v>
      </c>
      <c r="P23" s="3" t="s">
        <v>540</v>
      </c>
      <c r="S23" s="3" t="s">
        <v>541</v>
      </c>
      <c r="U23" s="3" t="s">
        <v>517</v>
      </c>
      <c r="V23" s="3" t="s">
        <v>542</v>
      </c>
      <c r="W23" s="3" t="s">
        <v>543</v>
      </c>
      <c r="X23" s="3" t="s">
        <v>544</v>
      </c>
      <c r="AB23" s="3" t="s">
        <v>545</v>
      </c>
      <c r="AC23" s="3" t="s">
        <v>546</v>
      </c>
      <c r="AD23" s="3" t="s">
        <v>547</v>
      </c>
      <c r="AE23" s="3" t="s">
        <v>548</v>
      </c>
    </row>
    <row r="24" customFormat="false" ht="15" hidden="false" customHeight="false" outlineLevel="0" collapsed="false">
      <c r="B24" s="3" t="s">
        <v>287</v>
      </c>
      <c r="E24" s="3" t="s">
        <v>549</v>
      </c>
      <c r="G24" s="3" t="s">
        <v>536</v>
      </c>
      <c r="H24" s="3" t="s">
        <v>550</v>
      </c>
      <c r="I24" s="3" t="s">
        <v>551</v>
      </c>
      <c r="L24" s="3" t="s">
        <v>552</v>
      </c>
      <c r="M24" s="3" t="s">
        <v>553</v>
      </c>
      <c r="N24" s="3" t="s">
        <v>554</v>
      </c>
      <c r="O24" s="3" t="s">
        <v>555</v>
      </c>
      <c r="P24" s="3" t="s">
        <v>556</v>
      </c>
      <c r="S24" s="3" t="s">
        <v>441</v>
      </c>
      <c r="U24" s="3" t="s">
        <v>557</v>
      </c>
      <c r="V24" s="3" t="s">
        <v>312</v>
      </c>
      <c r="W24" s="3" t="s">
        <v>558</v>
      </c>
      <c r="X24" s="3" t="s">
        <v>559</v>
      </c>
      <c r="AB24" s="3" t="s">
        <v>560</v>
      </c>
      <c r="AC24" s="3" t="s">
        <v>561</v>
      </c>
      <c r="AD24" s="3" t="s">
        <v>562</v>
      </c>
      <c r="AE24" s="3" t="s">
        <v>563</v>
      </c>
    </row>
    <row r="25" customFormat="false" ht="15" hidden="false" customHeight="false" outlineLevel="0" collapsed="false">
      <c r="B25" s="3" t="s">
        <v>564</v>
      </c>
      <c r="G25" s="3" t="s">
        <v>565</v>
      </c>
      <c r="H25" s="3" t="s">
        <v>566</v>
      </c>
      <c r="I25" s="3" t="s">
        <v>567</v>
      </c>
      <c r="L25" s="3" t="s">
        <v>568</v>
      </c>
      <c r="M25" s="3" t="s">
        <v>569</v>
      </c>
      <c r="N25" s="3" t="s">
        <v>570</v>
      </c>
      <c r="O25" s="3" t="s">
        <v>571</v>
      </c>
      <c r="P25" s="3" t="s">
        <v>399</v>
      </c>
      <c r="S25" s="3" t="s">
        <v>572</v>
      </c>
      <c r="U25" s="3" t="s">
        <v>573</v>
      </c>
      <c r="V25" s="3" t="s">
        <v>574</v>
      </c>
      <c r="W25" s="3" t="s">
        <v>575</v>
      </c>
      <c r="X25" s="3" t="s">
        <v>576</v>
      </c>
      <c r="AB25" s="3" t="s">
        <v>577</v>
      </c>
      <c r="AC25" s="3" t="s">
        <v>28</v>
      </c>
      <c r="AD25" s="3" t="s">
        <v>578</v>
      </c>
      <c r="AE25" s="3" t="s">
        <v>329</v>
      </c>
    </row>
    <row r="26" customFormat="false" ht="15" hidden="false" customHeight="false" outlineLevel="0" collapsed="false">
      <c r="B26" s="3" t="s">
        <v>579</v>
      </c>
      <c r="G26" s="3" t="s">
        <v>580</v>
      </c>
      <c r="H26" s="3" t="s">
        <v>581</v>
      </c>
      <c r="I26" s="3" t="s">
        <v>582</v>
      </c>
      <c r="L26" s="3" t="s">
        <v>583</v>
      </c>
      <c r="M26" s="3" t="s">
        <v>584</v>
      </c>
      <c r="N26" s="3" t="s">
        <v>585</v>
      </c>
      <c r="O26" s="3" t="s">
        <v>586</v>
      </c>
      <c r="P26" s="3" t="s">
        <v>587</v>
      </c>
      <c r="S26" s="3" t="s">
        <v>588</v>
      </c>
      <c r="U26" s="3" t="s">
        <v>589</v>
      </c>
      <c r="V26" s="3" t="s">
        <v>590</v>
      </c>
      <c r="W26" s="3" t="s">
        <v>591</v>
      </c>
      <c r="X26" s="3" t="s">
        <v>592</v>
      </c>
      <c r="AB26" s="3" t="s">
        <v>593</v>
      </c>
      <c r="AC26" s="3" t="s">
        <v>594</v>
      </c>
      <c r="AD26" s="3" t="s">
        <v>595</v>
      </c>
      <c r="AE26" s="3" t="s">
        <v>123</v>
      </c>
    </row>
    <row r="27" customFormat="false" ht="15" hidden="false" customHeight="false" outlineLevel="0" collapsed="false">
      <c r="B27" s="3" t="s">
        <v>596</v>
      </c>
      <c r="G27" s="3" t="s">
        <v>597</v>
      </c>
      <c r="H27" s="3" t="s">
        <v>598</v>
      </c>
      <c r="I27" s="3" t="s">
        <v>599</v>
      </c>
      <c r="L27" s="3" t="s">
        <v>600</v>
      </c>
      <c r="N27" s="3" t="s">
        <v>481</v>
      </c>
      <c r="O27" s="3" t="s">
        <v>601</v>
      </c>
      <c r="P27" s="3" t="s">
        <v>602</v>
      </c>
      <c r="S27" s="3" t="s">
        <v>603</v>
      </c>
      <c r="U27" s="3" t="s">
        <v>604</v>
      </c>
      <c r="V27" s="3" t="s">
        <v>605</v>
      </c>
      <c r="W27" s="3" t="s">
        <v>606</v>
      </c>
      <c r="X27" s="3" t="s">
        <v>607</v>
      </c>
      <c r="AB27" s="3" t="s">
        <v>608</v>
      </c>
      <c r="AC27" s="3" t="s">
        <v>609</v>
      </c>
      <c r="AD27" s="3" t="s">
        <v>610</v>
      </c>
      <c r="AE27" s="3" t="s">
        <v>611</v>
      </c>
    </row>
    <row r="28" customFormat="false" ht="15" hidden="false" customHeight="false" outlineLevel="0" collapsed="false">
      <c r="B28" s="3" t="s">
        <v>8</v>
      </c>
      <c r="G28" s="3" t="s">
        <v>612</v>
      </c>
      <c r="H28" s="3" t="s">
        <v>613</v>
      </c>
      <c r="I28" s="3" t="s">
        <v>614</v>
      </c>
      <c r="L28" s="3" t="s">
        <v>615</v>
      </c>
      <c r="N28" s="3" t="s">
        <v>616</v>
      </c>
      <c r="O28" s="3" t="s">
        <v>617</v>
      </c>
      <c r="P28" s="3" t="s">
        <v>618</v>
      </c>
      <c r="S28" s="3" t="s">
        <v>619</v>
      </c>
      <c r="U28" s="3" t="s">
        <v>620</v>
      </c>
      <c r="V28" s="3" t="s">
        <v>621</v>
      </c>
      <c r="W28" s="3" t="s">
        <v>622</v>
      </c>
      <c r="X28" s="3" t="s">
        <v>623</v>
      </c>
      <c r="AB28" s="3" t="s">
        <v>624</v>
      </c>
      <c r="AD28" s="3" t="s">
        <v>625</v>
      </c>
      <c r="AE28" s="3" t="s">
        <v>626</v>
      </c>
    </row>
    <row r="29" customFormat="false" ht="15" hidden="false" customHeight="false" outlineLevel="0" collapsed="false">
      <c r="B29" s="3" t="s">
        <v>627</v>
      </c>
      <c r="G29" s="3" t="s">
        <v>628</v>
      </c>
      <c r="H29" s="3" t="s">
        <v>629</v>
      </c>
      <c r="L29" s="3" t="s">
        <v>630</v>
      </c>
      <c r="N29" s="3" t="s">
        <v>631</v>
      </c>
      <c r="O29" s="3" t="s">
        <v>632</v>
      </c>
      <c r="P29" s="3" t="s">
        <v>633</v>
      </c>
      <c r="S29" s="3" t="s">
        <v>634</v>
      </c>
      <c r="U29" s="3" t="s">
        <v>635</v>
      </c>
      <c r="V29" s="3" t="s">
        <v>569</v>
      </c>
      <c r="W29" s="3" t="s">
        <v>636</v>
      </c>
      <c r="X29" s="3" t="s">
        <v>234</v>
      </c>
      <c r="AB29" s="3" t="s">
        <v>399</v>
      </c>
      <c r="AD29" s="3" t="s">
        <v>637</v>
      </c>
      <c r="AE29" s="3" t="s">
        <v>638</v>
      </c>
    </row>
    <row r="30" customFormat="false" ht="15" hidden="false" customHeight="false" outlineLevel="0" collapsed="false">
      <c r="B30" s="3" t="s">
        <v>639</v>
      </c>
      <c r="G30" s="3" t="s">
        <v>640</v>
      </c>
      <c r="H30" s="3" t="s">
        <v>641</v>
      </c>
      <c r="L30" s="3" t="s">
        <v>642</v>
      </c>
      <c r="N30" s="3" t="s">
        <v>643</v>
      </c>
      <c r="O30" s="3" t="s">
        <v>644</v>
      </c>
      <c r="P30" s="3" t="s">
        <v>645</v>
      </c>
      <c r="S30" s="3" t="s">
        <v>646</v>
      </c>
      <c r="U30" s="3" t="s">
        <v>647</v>
      </c>
      <c r="V30" s="3" t="s">
        <v>648</v>
      </c>
      <c r="W30" s="3" t="s">
        <v>649</v>
      </c>
      <c r="X30" s="3" t="s">
        <v>650</v>
      </c>
      <c r="AB30" s="3" t="s">
        <v>651</v>
      </c>
      <c r="AD30" s="3" t="s">
        <v>652</v>
      </c>
      <c r="AE30" s="3" t="s">
        <v>574</v>
      </c>
    </row>
    <row r="31" customFormat="false" ht="15" hidden="false" customHeight="false" outlineLevel="0" collapsed="false">
      <c r="B31" s="3" t="s">
        <v>653</v>
      </c>
      <c r="G31" s="3" t="s">
        <v>654</v>
      </c>
      <c r="H31" s="3" t="s">
        <v>655</v>
      </c>
      <c r="L31" s="3" t="s">
        <v>656</v>
      </c>
      <c r="N31" s="3" t="s">
        <v>657</v>
      </c>
      <c r="O31" s="3" t="s">
        <v>658</v>
      </c>
      <c r="P31" s="3" t="s">
        <v>659</v>
      </c>
      <c r="S31" s="3" t="s">
        <v>660</v>
      </c>
      <c r="U31" s="3" t="s">
        <v>661</v>
      </c>
      <c r="W31" s="3" t="s">
        <v>662</v>
      </c>
      <c r="X31" s="3" t="s">
        <v>663</v>
      </c>
      <c r="AB31" s="3" t="s">
        <v>664</v>
      </c>
      <c r="AD31" s="3" t="s">
        <v>665</v>
      </c>
      <c r="AE31" s="3" t="s">
        <v>666</v>
      </c>
    </row>
    <row r="32" customFormat="false" ht="15" hidden="false" customHeight="false" outlineLevel="0" collapsed="false">
      <c r="B32" s="3" t="s">
        <v>667</v>
      </c>
      <c r="G32" s="3" t="s">
        <v>668</v>
      </c>
      <c r="H32" s="3" t="s">
        <v>669</v>
      </c>
      <c r="L32" s="3" t="s">
        <v>670</v>
      </c>
      <c r="N32" s="3" t="s">
        <v>671</v>
      </c>
      <c r="P32" s="3" t="s">
        <v>672</v>
      </c>
      <c r="S32" s="3" t="s">
        <v>673</v>
      </c>
      <c r="W32" s="3" t="s">
        <v>674</v>
      </c>
      <c r="X32" s="3" t="s">
        <v>675</v>
      </c>
      <c r="AB32" s="3" t="s">
        <v>676</v>
      </c>
      <c r="AD32" s="3" t="s">
        <v>677</v>
      </c>
      <c r="AE32" s="3" t="s">
        <v>678</v>
      </c>
    </row>
    <row r="33" customFormat="false" ht="15" hidden="false" customHeight="false" outlineLevel="0" collapsed="false">
      <c r="B33" s="3" t="s">
        <v>679</v>
      </c>
      <c r="G33" s="3" t="s">
        <v>680</v>
      </c>
      <c r="H33" s="3" t="s">
        <v>681</v>
      </c>
      <c r="L33" s="3" t="s">
        <v>682</v>
      </c>
      <c r="P33" s="3" t="s">
        <v>683</v>
      </c>
      <c r="S33" s="3" t="s">
        <v>684</v>
      </c>
      <c r="W33" s="3" t="s">
        <v>685</v>
      </c>
      <c r="X33" s="3" t="s">
        <v>686</v>
      </c>
      <c r="AB33" s="3" t="s">
        <v>687</v>
      </c>
      <c r="AD33" s="3" t="s">
        <v>688</v>
      </c>
      <c r="AE33" s="3" t="s">
        <v>546</v>
      </c>
    </row>
    <row r="34" customFormat="false" ht="15" hidden="false" customHeight="false" outlineLevel="0" collapsed="false">
      <c r="B34" s="3" t="s">
        <v>689</v>
      </c>
      <c r="G34" s="3" t="s">
        <v>690</v>
      </c>
      <c r="H34" s="3" t="s">
        <v>691</v>
      </c>
      <c r="L34" s="3" t="s">
        <v>692</v>
      </c>
      <c r="P34" s="3" t="s">
        <v>693</v>
      </c>
      <c r="S34" s="3" t="s">
        <v>694</v>
      </c>
      <c r="W34" s="3" t="s">
        <v>329</v>
      </c>
      <c r="X34" s="3" t="s">
        <v>325</v>
      </c>
      <c r="AB34" s="3" t="s">
        <v>695</v>
      </c>
      <c r="AD34" s="3" t="s">
        <v>696</v>
      </c>
      <c r="AE34" s="3" t="s">
        <v>697</v>
      </c>
    </row>
    <row r="35" customFormat="false" ht="15" hidden="false" customHeight="false" outlineLevel="0" collapsed="false">
      <c r="B35" s="3" t="s">
        <v>698</v>
      </c>
      <c r="G35" s="3" t="s">
        <v>699</v>
      </c>
      <c r="H35" s="3" t="s">
        <v>700</v>
      </c>
      <c r="L35" s="3" t="s">
        <v>701</v>
      </c>
      <c r="P35" s="3" t="s">
        <v>702</v>
      </c>
      <c r="S35" s="3" t="s">
        <v>703</v>
      </c>
      <c r="W35" s="3" t="s">
        <v>704</v>
      </c>
      <c r="X35" s="3" t="s">
        <v>705</v>
      </c>
      <c r="AB35" s="3" t="s">
        <v>706</v>
      </c>
      <c r="AD35" s="3" t="s">
        <v>707</v>
      </c>
      <c r="AE35" s="3" t="s">
        <v>708</v>
      </c>
    </row>
    <row r="36" customFormat="false" ht="15" hidden="false" customHeight="false" outlineLevel="0" collapsed="false">
      <c r="B36" s="3" t="s">
        <v>709</v>
      </c>
      <c r="G36" s="3" t="s">
        <v>710</v>
      </c>
      <c r="H36" s="3" t="s">
        <v>711</v>
      </c>
      <c r="L36" s="3" t="s">
        <v>712</v>
      </c>
      <c r="P36" s="3" t="s">
        <v>713</v>
      </c>
      <c r="S36" s="3" t="s">
        <v>714</v>
      </c>
      <c r="W36" s="3" t="s">
        <v>715</v>
      </c>
      <c r="X36" s="3" t="s">
        <v>716</v>
      </c>
      <c r="AB36" s="3" t="s">
        <v>717</v>
      </c>
      <c r="AD36" s="3" t="s">
        <v>718</v>
      </c>
      <c r="AE36" s="3" t="s">
        <v>719</v>
      </c>
    </row>
    <row r="37" customFormat="false" ht="15" hidden="false" customHeight="false" outlineLevel="0" collapsed="false">
      <c r="B37" s="3" t="s">
        <v>720</v>
      </c>
      <c r="G37" s="3" t="s">
        <v>721</v>
      </c>
      <c r="H37" s="3" t="s">
        <v>722</v>
      </c>
      <c r="L37" s="3" t="s">
        <v>723</v>
      </c>
      <c r="P37" s="3" t="s">
        <v>724</v>
      </c>
      <c r="S37" s="3" t="s">
        <v>725</v>
      </c>
      <c r="W37" s="3" t="s">
        <v>726</v>
      </c>
      <c r="X37" s="3" t="s">
        <v>727</v>
      </c>
      <c r="AB37" s="3" t="s">
        <v>728</v>
      </c>
      <c r="AD37" s="3" t="s">
        <v>729</v>
      </c>
      <c r="AE37" s="3" t="s">
        <v>730</v>
      </c>
    </row>
    <row r="38" customFormat="false" ht="15" hidden="false" customHeight="false" outlineLevel="0" collapsed="false">
      <c r="B38" s="3" t="s">
        <v>731</v>
      </c>
      <c r="G38" s="3" t="s">
        <v>692</v>
      </c>
      <c r="H38" s="3" t="s">
        <v>732</v>
      </c>
      <c r="L38" s="3" t="s">
        <v>28</v>
      </c>
      <c r="P38" s="3" t="s">
        <v>346</v>
      </c>
      <c r="S38" s="3" t="s">
        <v>733</v>
      </c>
      <c r="W38" s="3" t="s">
        <v>734</v>
      </c>
      <c r="X38" s="3" t="s">
        <v>735</v>
      </c>
      <c r="AB38" s="3" t="s">
        <v>736</v>
      </c>
      <c r="AD38" s="3" t="s">
        <v>737</v>
      </c>
      <c r="AE38" s="3" t="s">
        <v>738</v>
      </c>
    </row>
    <row r="39" customFormat="false" ht="15" hidden="false" customHeight="false" outlineLevel="0" collapsed="false">
      <c r="B39" s="3" t="s">
        <v>739</v>
      </c>
      <c r="G39" s="3" t="s">
        <v>740</v>
      </c>
      <c r="H39" s="3" t="s">
        <v>741</v>
      </c>
      <c r="L39" s="3" t="s">
        <v>742</v>
      </c>
      <c r="P39" s="3" t="s">
        <v>743</v>
      </c>
      <c r="W39" s="3" t="s">
        <v>744</v>
      </c>
      <c r="X39" s="3" t="s">
        <v>745</v>
      </c>
      <c r="AB39" s="3" t="s">
        <v>365</v>
      </c>
      <c r="AD39" s="3" t="s">
        <v>746</v>
      </c>
      <c r="AE39" s="3" t="s">
        <v>747</v>
      </c>
    </row>
    <row r="40" customFormat="false" ht="15" hidden="false" customHeight="false" outlineLevel="0" collapsed="false">
      <c r="B40" s="3" t="s">
        <v>527</v>
      </c>
      <c r="G40" s="3" t="s">
        <v>748</v>
      </c>
      <c r="H40" s="3" t="s">
        <v>749</v>
      </c>
      <c r="L40" s="3" t="s">
        <v>750</v>
      </c>
      <c r="P40" s="3" t="s">
        <v>751</v>
      </c>
      <c r="W40" s="3" t="s">
        <v>752</v>
      </c>
      <c r="X40" s="3" t="s">
        <v>753</v>
      </c>
      <c r="AB40" s="3" t="s">
        <v>754</v>
      </c>
      <c r="AD40" s="3" t="s">
        <v>755</v>
      </c>
      <c r="AE40" s="3" t="s">
        <v>756</v>
      </c>
    </row>
    <row r="41" customFormat="false" ht="15" hidden="false" customHeight="false" outlineLevel="0" collapsed="false">
      <c r="B41" s="3" t="s">
        <v>249</v>
      </c>
      <c r="G41" s="3" t="s">
        <v>757</v>
      </c>
      <c r="H41" s="3" t="s">
        <v>758</v>
      </c>
      <c r="L41" s="3" t="s">
        <v>759</v>
      </c>
      <c r="P41" s="3" t="s">
        <v>760</v>
      </c>
      <c r="W41" s="3" t="s">
        <v>22</v>
      </c>
      <c r="X41" s="3" t="s">
        <v>761</v>
      </c>
      <c r="AB41" s="3" t="s">
        <v>762</v>
      </c>
      <c r="AD41" s="3" t="s">
        <v>763</v>
      </c>
      <c r="AE41" s="3" t="s">
        <v>764</v>
      </c>
    </row>
    <row r="42" customFormat="false" ht="15" hidden="false" customHeight="false" outlineLevel="0" collapsed="false">
      <c r="B42" s="3" t="s">
        <v>765</v>
      </c>
      <c r="G42" s="3" t="s">
        <v>766</v>
      </c>
      <c r="H42" s="3" t="s">
        <v>767</v>
      </c>
      <c r="L42" s="3" t="s">
        <v>768</v>
      </c>
      <c r="P42" s="3" t="s">
        <v>769</v>
      </c>
      <c r="W42" s="3" t="s">
        <v>770</v>
      </c>
      <c r="AB42" s="3" t="s">
        <v>771</v>
      </c>
      <c r="AD42" s="3" t="s">
        <v>772</v>
      </c>
      <c r="AE42" s="3" t="s">
        <v>773</v>
      </c>
    </row>
    <row r="43" customFormat="false" ht="15" hidden="false" customHeight="false" outlineLevel="0" collapsed="false">
      <c r="B43" s="3" t="s">
        <v>774</v>
      </c>
      <c r="G43" s="3" t="s">
        <v>775</v>
      </c>
      <c r="H43" s="3" t="s">
        <v>776</v>
      </c>
      <c r="L43" s="3" t="s">
        <v>777</v>
      </c>
      <c r="P43" s="3" t="s">
        <v>778</v>
      </c>
      <c r="W43" s="3" t="s">
        <v>779</v>
      </c>
      <c r="AB43" s="3" t="s">
        <v>780</v>
      </c>
      <c r="AD43" s="3" t="s">
        <v>781</v>
      </c>
      <c r="AE43" s="3" t="s">
        <v>782</v>
      </c>
    </row>
    <row r="44" customFormat="false" ht="15" hidden="false" customHeight="false" outlineLevel="0" collapsed="false">
      <c r="B44" s="3" t="s">
        <v>783</v>
      </c>
      <c r="G44" s="3" t="s">
        <v>784</v>
      </c>
      <c r="H44" s="3" t="s">
        <v>785</v>
      </c>
      <c r="P44" s="3" t="s">
        <v>786</v>
      </c>
      <c r="W44" s="3" t="s">
        <v>787</v>
      </c>
      <c r="AB44" s="3" t="s">
        <v>788</v>
      </c>
      <c r="AD44" s="3" t="s">
        <v>723</v>
      </c>
    </row>
    <row r="45" customFormat="false" ht="15" hidden="false" customHeight="false" outlineLevel="0" collapsed="false">
      <c r="B45" s="3" t="s">
        <v>789</v>
      </c>
      <c r="G45" s="3" t="s">
        <v>790</v>
      </c>
      <c r="H45" s="3" t="s">
        <v>791</v>
      </c>
      <c r="P45" s="3" t="s">
        <v>792</v>
      </c>
      <c r="W45" s="3" t="s">
        <v>793</v>
      </c>
      <c r="AB45" s="3" t="s">
        <v>794</v>
      </c>
      <c r="AD45" s="3" t="s">
        <v>795</v>
      </c>
    </row>
    <row r="46" customFormat="false" ht="15" hidden="false" customHeight="false" outlineLevel="0" collapsed="false">
      <c r="B46" s="3" t="s">
        <v>796</v>
      </c>
      <c r="G46" s="3" t="s">
        <v>410</v>
      </c>
      <c r="H46" s="3" t="s">
        <v>797</v>
      </c>
      <c r="P46" s="3" t="s">
        <v>798</v>
      </c>
      <c r="W46" s="3" t="s">
        <v>799</v>
      </c>
      <c r="AB46" s="3" t="s">
        <v>800</v>
      </c>
      <c r="AD46" s="3" t="s">
        <v>801</v>
      </c>
    </row>
    <row r="47" customFormat="false" ht="15" hidden="false" customHeight="false" outlineLevel="0" collapsed="false">
      <c r="B47" s="3" t="s">
        <v>802</v>
      </c>
      <c r="G47" s="3" t="s">
        <v>803</v>
      </c>
      <c r="H47" s="3" t="s">
        <v>804</v>
      </c>
      <c r="P47" s="3" t="s">
        <v>805</v>
      </c>
      <c r="W47" s="3" t="s">
        <v>68</v>
      </c>
      <c r="AB47" s="3" t="s">
        <v>806</v>
      </c>
      <c r="AD47" s="3" t="s">
        <v>807</v>
      </c>
    </row>
    <row r="48" customFormat="false" ht="15" hidden="false" customHeight="false" outlineLevel="0" collapsed="false">
      <c r="B48" s="3" t="s">
        <v>808</v>
      </c>
      <c r="H48" s="3" t="s">
        <v>809</v>
      </c>
      <c r="P48" s="3" t="s">
        <v>810</v>
      </c>
      <c r="W48" s="3" t="s">
        <v>811</v>
      </c>
      <c r="AB48" s="3" t="s">
        <v>519</v>
      </c>
      <c r="AD48" s="3" t="s">
        <v>812</v>
      </c>
    </row>
    <row r="49" customFormat="false" ht="15" hidden="false" customHeight="false" outlineLevel="0" collapsed="false">
      <c r="B49" s="3" t="s">
        <v>813</v>
      </c>
      <c r="H49" s="3" t="s">
        <v>814</v>
      </c>
      <c r="P49" s="3" t="s">
        <v>815</v>
      </c>
      <c r="W49" s="3" t="s">
        <v>816</v>
      </c>
      <c r="AB49" s="3" t="s">
        <v>817</v>
      </c>
    </row>
    <row r="50" customFormat="false" ht="15" hidden="false" customHeight="false" outlineLevel="0" collapsed="false">
      <c r="B50" s="3" t="s">
        <v>818</v>
      </c>
      <c r="H50" s="3" t="s">
        <v>123</v>
      </c>
      <c r="P50" s="3" t="s">
        <v>819</v>
      </c>
      <c r="W50" s="3" t="s">
        <v>820</v>
      </c>
      <c r="AB50" s="3" t="s">
        <v>821</v>
      </c>
    </row>
    <row r="51" customFormat="false" ht="15" hidden="false" customHeight="false" outlineLevel="0" collapsed="false">
      <c r="B51" s="3" t="s">
        <v>822</v>
      </c>
      <c r="H51" s="3" t="s">
        <v>823</v>
      </c>
      <c r="P51" s="3" t="s">
        <v>824</v>
      </c>
      <c r="W51" s="3" t="s">
        <v>825</v>
      </c>
      <c r="AB51" s="3" t="s">
        <v>826</v>
      </c>
    </row>
    <row r="52" customFormat="false" ht="15" hidden="false" customHeight="false" outlineLevel="0" collapsed="false">
      <c r="B52" s="3" t="s">
        <v>827</v>
      </c>
      <c r="H52" s="3" t="s">
        <v>828</v>
      </c>
      <c r="P52" s="3" t="s">
        <v>829</v>
      </c>
      <c r="W52" s="3" t="s">
        <v>830</v>
      </c>
      <c r="AB52" s="3" t="s">
        <v>831</v>
      </c>
    </row>
    <row r="53" customFormat="false" ht="15" hidden="false" customHeight="false" outlineLevel="0" collapsed="false">
      <c r="B53" s="3" t="s">
        <v>832</v>
      </c>
      <c r="H53" s="3" t="s">
        <v>833</v>
      </c>
      <c r="P53" s="3" t="s">
        <v>463</v>
      </c>
      <c r="W53" s="3" t="s">
        <v>834</v>
      </c>
      <c r="AB53" s="3" t="s">
        <v>835</v>
      </c>
    </row>
    <row r="54" customFormat="false" ht="15" hidden="false" customHeight="false" outlineLevel="0" collapsed="false">
      <c r="B54" s="3" t="s">
        <v>346</v>
      </c>
      <c r="H54" s="3" t="s">
        <v>836</v>
      </c>
      <c r="P54" s="3" t="s">
        <v>837</v>
      </c>
      <c r="W54" s="3" t="s">
        <v>838</v>
      </c>
      <c r="AB54" s="3" t="s">
        <v>839</v>
      </c>
    </row>
    <row r="55" customFormat="false" ht="15" hidden="false" customHeight="false" outlineLevel="0" collapsed="false">
      <c r="B55" s="3" t="s">
        <v>365</v>
      </c>
      <c r="H55" s="3" t="s">
        <v>137</v>
      </c>
      <c r="P55" s="3" t="s">
        <v>840</v>
      </c>
      <c r="W55" s="3" t="s">
        <v>841</v>
      </c>
      <c r="AB55" s="3" t="s">
        <v>842</v>
      </c>
    </row>
    <row r="56" customFormat="false" ht="15" hidden="false" customHeight="false" outlineLevel="0" collapsed="false">
      <c r="B56" s="3" t="s">
        <v>843</v>
      </c>
      <c r="H56" s="3" t="s">
        <v>844</v>
      </c>
      <c r="P56" s="3" t="s">
        <v>845</v>
      </c>
      <c r="W56" s="3" t="s">
        <v>710</v>
      </c>
      <c r="AB56" s="3" t="s">
        <v>846</v>
      </c>
    </row>
    <row r="57" customFormat="false" ht="15" hidden="false" customHeight="false" outlineLevel="0" collapsed="false">
      <c r="B57" s="3" t="s">
        <v>847</v>
      </c>
      <c r="H57" s="3" t="s">
        <v>848</v>
      </c>
      <c r="P57" s="3" t="s">
        <v>849</v>
      </c>
      <c r="W57" s="3" t="s">
        <v>850</v>
      </c>
      <c r="AB57" s="3" t="s">
        <v>851</v>
      </c>
    </row>
    <row r="58" customFormat="false" ht="15" hidden="false" customHeight="false" outlineLevel="0" collapsed="false">
      <c r="B58" s="3" t="s">
        <v>852</v>
      </c>
      <c r="H58" s="3" t="s">
        <v>853</v>
      </c>
      <c r="P58" s="3" t="s">
        <v>854</v>
      </c>
      <c r="W58" s="3" t="s">
        <v>855</v>
      </c>
      <c r="AB58" s="3" t="s">
        <v>856</v>
      </c>
    </row>
    <row r="59" customFormat="false" ht="15" hidden="false" customHeight="false" outlineLevel="0" collapsed="false">
      <c r="B59" s="3" t="s">
        <v>857</v>
      </c>
      <c r="H59" s="3" t="s">
        <v>858</v>
      </c>
      <c r="P59" s="3" t="s">
        <v>752</v>
      </c>
      <c r="W59" s="3" t="s">
        <v>859</v>
      </c>
      <c r="AB59" s="3" t="s">
        <v>860</v>
      </c>
    </row>
    <row r="60" customFormat="false" ht="15" hidden="false" customHeight="false" outlineLevel="0" collapsed="false">
      <c r="B60" s="3" t="s">
        <v>861</v>
      </c>
      <c r="H60" s="3" t="s">
        <v>862</v>
      </c>
      <c r="P60" s="3" t="s">
        <v>22</v>
      </c>
      <c r="W60" s="3" t="s">
        <v>863</v>
      </c>
      <c r="AB60" s="3" t="s">
        <v>864</v>
      </c>
    </row>
    <row r="61" customFormat="false" ht="15" hidden="false" customHeight="false" outlineLevel="0" collapsed="false">
      <c r="B61" s="3" t="s">
        <v>865</v>
      </c>
      <c r="H61" s="3" t="s">
        <v>866</v>
      </c>
      <c r="P61" s="3" t="s">
        <v>867</v>
      </c>
      <c r="W61" s="3" t="s">
        <v>868</v>
      </c>
      <c r="AB61" s="3" t="s">
        <v>869</v>
      </c>
    </row>
    <row r="62" customFormat="false" ht="15" hidden="false" customHeight="false" outlineLevel="0" collapsed="false">
      <c r="B62" s="3" t="s">
        <v>870</v>
      </c>
      <c r="H62" s="3" t="s">
        <v>871</v>
      </c>
      <c r="P62" s="3" t="s">
        <v>872</v>
      </c>
      <c r="W62" s="3" t="s">
        <v>873</v>
      </c>
      <c r="AB62" s="3" t="s">
        <v>874</v>
      </c>
    </row>
    <row r="63" customFormat="false" ht="15" hidden="false" customHeight="false" outlineLevel="0" collapsed="false">
      <c r="B63" s="3" t="s">
        <v>804</v>
      </c>
      <c r="H63" s="3" t="s">
        <v>875</v>
      </c>
      <c r="P63" s="3" t="s">
        <v>876</v>
      </c>
      <c r="W63" s="3" t="s">
        <v>877</v>
      </c>
      <c r="AB63" s="3" t="s">
        <v>878</v>
      </c>
    </row>
    <row r="64" customFormat="false" ht="15" hidden="false" customHeight="false" outlineLevel="0" collapsed="false">
      <c r="B64" s="3" t="s">
        <v>879</v>
      </c>
      <c r="H64" s="3" t="s">
        <v>880</v>
      </c>
      <c r="P64" s="3" t="s">
        <v>881</v>
      </c>
      <c r="W64" s="3" t="s">
        <v>882</v>
      </c>
      <c r="AB64" s="3" t="s">
        <v>883</v>
      </c>
    </row>
    <row r="65" customFormat="false" ht="15" hidden="false" customHeight="false" outlineLevel="0" collapsed="false">
      <c r="B65" s="3" t="s">
        <v>884</v>
      </c>
      <c r="H65" s="3" t="s">
        <v>885</v>
      </c>
      <c r="P65" s="3" t="s">
        <v>886</v>
      </c>
      <c r="W65" s="3" t="s">
        <v>887</v>
      </c>
      <c r="AB65" s="3" t="s">
        <v>888</v>
      </c>
    </row>
    <row r="66" customFormat="false" ht="15" hidden="false" customHeight="false" outlineLevel="0" collapsed="false">
      <c r="B66" s="3" t="s">
        <v>889</v>
      </c>
      <c r="H66" s="3" t="s">
        <v>568</v>
      </c>
      <c r="P66" s="3" t="s">
        <v>890</v>
      </c>
      <c r="AB66" s="3" t="s">
        <v>891</v>
      </c>
    </row>
    <row r="67" customFormat="false" ht="15" hidden="false" customHeight="false" outlineLevel="0" collapsed="false">
      <c r="B67" s="3" t="s">
        <v>329</v>
      </c>
      <c r="H67" s="3" t="s">
        <v>892</v>
      </c>
      <c r="P67" s="3" t="s">
        <v>893</v>
      </c>
      <c r="AB67" s="3" t="s">
        <v>894</v>
      </c>
    </row>
    <row r="68" customFormat="false" ht="15" hidden="false" customHeight="false" outlineLevel="0" collapsed="false">
      <c r="B68" s="3" t="s">
        <v>895</v>
      </c>
      <c r="H68" s="3" t="s">
        <v>896</v>
      </c>
      <c r="P68" s="3" t="s">
        <v>897</v>
      </c>
      <c r="AB68" s="3" t="s">
        <v>898</v>
      </c>
    </row>
    <row r="69" customFormat="false" ht="15" hidden="false" customHeight="false" outlineLevel="0" collapsed="false">
      <c r="B69" s="3" t="s">
        <v>899</v>
      </c>
      <c r="H69" s="3" t="s">
        <v>900</v>
      </c>
      <c r="P69" s="3" t="s">
        <v>901</v>
      </c>
      <c r="AB69" s="3" t="s">
        <v>35</v>
      </c>
    </row>
    <row r="70" customFormat="false" ht="15" hidden="false" customHeight="false" outlineLevel="0" collapsed="false">
      <c r="B70" s="3" t="s">
        <v>902</v>
      </c>
      <c r="H70" s="3" t="s">
        <v>903</v>
      </c>
      <c r="P70" s="3" t="s">
        <v>904</v>
      </c>
      <c r="AB70" s="3" t="s">
        <v>905</v>
      </c>
    </row>
    <row r="71" customFormat="false" ht="15" hidden="false" customHeight="false" outlineLevel="0" collapsed="false">
      <c r="B71" s="3" t="s">
        <v>906</v>
      </c>
      <c r="H71" s="3" t="s">
        <v>907</v>
      </c>
      <c r="P71" s="3" t="s">
        <v>908</v>
      </c>
      <c r="AB71" s="3" t="s">
        <v>909</v>
      </c>
    </row>
    <row r="72" customFormat="false" ht="15" hidden="false" customHeight="false" outlineLevel="0" collapsed="false">
      <c r="B72" s="3" t="s">
        <v>910</v>
      </c>
      <c r="H72" s="3" t="s">
        <v>911</v>
      </c>
      <c r="P72" s="3" t="s">
        <v>912</v>
      </c>
      <c r="AB72" s="3" t="s">
        <v>913</v>
      </c>
    </row>
    <row r="73" customFormat="false" ht="15" hidden="false" customHeight="false" outlineLevel="0" collapsed="false">
      <c r="B73" s="3" t="s">
        <v>914</v>
      </c>
      <c r="H73" s="3" t="s">
        <v>915</v>
      </c>
      <c r="P73" s="3" t="s">
        <v>916</v>
      </c>
      <c r="AB73" s="3" t="s">
        <v>917</v>
      </c>
    </row>
    <row r="74" customFormat="false" ht="15" hidden="false" customHeight="false" outlineLevel="0" collapsed="false">
      <c r="B74" s="3" t="s">
        <v>22</v>
      </c>
      <c r="H74" s="3" t="s">
        <v>918</v>
      </c>
      <c r="P74" s="3" t="s">
        <v>919</v>
      </c>
      <c r="AB74" s="3" t="s">
        <v>302</v>
      </c>
    </row>
    <row r="75" customFormat="false" ht="15" hidden="false" customHeight="false" outlineLevel="0" collapsed="false">
      <c r="B75" s="3" t="s">
        <v>920</v>
      </c>
      <c r="H75" s="3" t="s">
        <v>921</v>
      </c>
      <c r="P75" s="3" t="s">
        <v>922</v>
      </c>
      <c r="AB75" s="3" t="s">
        <v>923</v>
      </c>
    </row>
    <row r="76" customFormat="false" ht="15" hidden="false" customHeight="false" outlineLevel="0" collapsed="false">
      <c r="B76" s="3" t="s">
        <v>924</v>
      </c>
      <c r="H76" s="3" t="s">
        <v>925</v>
      </c>
      <c r="P76" s="3" t="s">
        <v>926</v>
      </c>
      <c r="AB76" s="3" t="s">
        <v>855</v>
      </c>
    </row>
    <row r="77" customFormat="false" ht="15" hidden="false" customHeight="false" outlineLevel="0" collapsed="false">
      <c r="B77" s="3" t="s">
        <v>927</v>
      </c>
      <c r="H77" s="3" t="s">
        <v>928</v>
      </c>
      <c r="P77" s="3" t="s">
        <v>820</v>
      </c>
      <c r="AB77" s="3" t="s">
        <v>929</v>
      </c>
    </row>
    <row r="78" customFormat="false" ht="15" hidden="false" customHeight="false" outlineLevel="0" collapsed="false">
      <c r="B78" s="3" t="s">
        <v>930</v>
      </c>
      <c r="H78" s="3" t="s">
        <v>931</v>
      </c>
      <c r="P78" s="3" t="s">
        <v>932</v>
      </c>
      <c r="AB78" s="3" t="s">
        <v>933</v>
      </c>
    </row>
    <row r="79" customFormat="false" ht="15" hidden="false" customHeight="false" outlineLevel="0" collapsed="false">
      <c r="B79" s="3" t="s">
        <v>934</v>
      </c>
      <c r="H79" s="3" t="s">
        <v>935</v>
      </c>
      <c r="P79" s="3" t="s">
        <v>838</v>
      </c>
      <c r="AB79" s="3" t="s">
        <v>936</v>
      </c>
    </row>
    <row r="80" customFormat="false" ht="15" hidden="false" customHeight="false" outlineLevel="0" collapsed="false">
      <c r="B80" s="3" t="s">
        <v>937</v>
      </c>
      <c r="H80" s="3" t="s">
        <v>938</v>
      </c>
      <c r="P80" s="3" t="s">
        <v>686</v>
      </c>
      <c r="AB80" s="3" t="s">
        <v>939</v>
      </c>
    </row>
    <row r="81" customFormat="false" ht="15" hidden="false" customHeight="false" outlineLevel="0" collapsed="false">
      <c r="B81" s="3" t="s">
        <v>940</v>
      </c>
      <c r="H81" s="3" t="s">
        <v>941</v>
      </c>
      <c r="P81" s="3" t="s">
        <v>277</v>
      </c>
      <c r="AB81" s="3" t="s">
        <v>28</v>
      </c>
    </row>
    <row r="82" customFormat="false" ht="15" hidden="false" customHeight="false" outlineLevel="0" collapsed="false">
      <c r="B82" s="3" t="s">
        <v>942</v>
      </c>
      <c r="H82" s="3" t="s">
        <v>943</v>
      </c>
      <c r="P82" s="3" t="s">
        <v>944</v>
      </c>
      <c r="AB82" s="3" t="s">
        <v>945</v>
      </c>
    </row>
    <row r="83" customFormat="false" ht="15" hidden="false" customHeight="false" outlineLevel="0" collapsed="false">
      <c r="B83" s="3" t="s">
        <v>946</v>
      </c>
      <c r="H83" s="3" t="s">
        <v>947</v>
      </c>
      <c r="P83" s="3" t="s">
        <v>948</v>
      </c>
      <c r="AB83" s="3" t="s">
        <v>949</v>
      </c>
    </row>
    <row r="84" customFormat="false" ht="15" hidden="false" customHeight="false" outlineLevel="0" collapsed="false">
      <c r="B84" s="3" t="s">
        <v>950</v>
      </c>
      <c r="H84" s="3" t="s">
        <v>951</v>
      </c>
      <c r="P84" s="3" t="s">
        <v>952</v>
      </c>
      <c r="AB84" s="3" t="s">
        <v>953</v>
      </c>
    </row>
    <row r="85" customFormat="false" ht="15" hidden="false" customHeight="false" outlineLevel="0" collapsed="false">
      <c r="B85" s="3" t="s">
        <v>954</v>
      </c>
      <c r="H85" s="3" t="s">
        <v>955</v>
      </c>
      <c r="P85" s="3" t="s">
        <v>956</v>
      </c>
      <c r="AB85" s="3" t="s">
        <v>957</v>
      </c>
    </row>
    <row r="86" customFormat="false" ht="15" hidden="false" customHeight="false" outlineLevel="0" collapsed="false">
      <c r="B86" s="3" t="s">
        <v>894</v>
      </c>
      <c r="H86" s="3" t="s">
        <v>958</v>
      </c>
      <c r="P86" s="3" t="s">
        <v>959</v>
      </c>
      <c r="AB86" s="3" t="s">
        <v>960</v>
      </c>
    </row>
    <row r="87" customFormat="false" ht="15" hidden="false" customHeight="false" outlineLevel="0" collapsed="false">
      <c r="B87" s="3" t="s">
        <v>359</v>
      </c>
      <c r="H87" s="3" t="s">
        <v>961</v>
      </c>
      <c r="P87" s="3" t="s">
        <v>962</v>
      </c>
      <c r="AB87" s="3" t="s">
        <v>410</v>
      </c>
    </row>
    <row r="88" customFormat="false" ht="15" hidden="false" customHeight="false" outlineLevel="0" collapsed="false">
      <c r="B88" s="3" t="s">
        <v>963</v>
      </c>
      <c r="H88" s="3" t="s">
        <v>964</v>
      </c>
      <c r="P88" s="3" t="s">
        <v>965</v>
      </c>
      <c r="AB88" s="3" t="s">
        <v>966</v>
      </c>
    </row>
    <row r="89" customFormat="false" ht="15" hidden="false" customHeight="false" outlineLevel="0" collapsed="false">
      <c r="B89" s="3" t="s">
        <v>967</v>
      </c>
      <c r="H89" s="3" t="s">
        <v>968</v>
      </c>
      <c r="P89" s="3" t="s">
        <v>969</v>
      </c>
    </row>
    <row r="90" customFormat="false" ht="15" hidden="false" customHeight="false" outlineLevel="0" collapsed="false">
      <c r="B90" s="3" t="s">
        <v>970</v>
      </c>
      <c r="H90" s="3" t="s">
        <v>646</v>
      </c>
      <c r="P90" s="3" t="s">
        <v>971</v>
      </c>
    </row>
    <row r="91" customFormat="false" ht="15" hidden="false" customHeight="false" outlineLevel="0" collapsed="false">
      <c r="B91" s="3" t="s">
        <v>586</v>
      </c>
      <c r="H91" s="3" t="s">
        <v>972</v>
      </c>
      <c r="P91" s="3" t="s">
        <v>973</v>
      </c>
    </row>
    <row r="92" customFormat="false" ht="15" hidden="false" customHeight="false" outlineLevel="0" collapsed="false">
      <c r="B92" s="3" t="s">
        <v>277</v>
      </c>
      <c r="H92" s="3" t="s">
        <v>974</v>
      </c>
      <c r="P92" s="3" t="s">
        <v>975</v>
      </c>
    </row>
    <row r="93" customFormat="false" ht="15" hidden="false" customHeight="false" outlineLevel="0" collapsed="false">
      <c r="B93" s="3" t="s">
        <v>976</v>
      </c>
      <c r="H93" s="3" t="s">
        <v>977</v>
      </c>
      <c r="P93" s="3" t="s">
        <v>978</v>
      </c>
    </row>
    <row r="94" customFormat="false" ht="15" hidden="false" customHeight="false" outlineLevel="0" collapsed="false">
      <c r="B94" s="3" t="s">
        <v>979</v>
      </c>
      <c r="H94" s="3" t="s">
        <v>980</v>
      </c>
      <c r="P94" s="3" t="s">
        <v>981</v>
      </c>
    </row>
    <row r="95" customFormat="false" ht="15" hidden="false" customHeight="false" outlineLevel="0" collapsed="false">
      <c r="B95" s="3" t="s">
        <v>982</v>
      </c>
      <c r="H95" s="3" t="s">
        <v>983</v>
      </c>
      <c r="P95" s="3" t="s">
        <v>984</v>
      </c>
    </row>
    <row r="96" customFormat="false" ht="15" hidden="false" customHeight="false" outlineLevel="0" collapsed="false">
      <c r="B96" s="3" t="s">
        <v>772</v>
      </c>
      <c r="H96" s="3" t="s">
        <v>985</v>
      </c>
      <c r="P96" s="3" t="s">
        <v>986</v>
      </c>
    </row>
    <row r="97" customFormat="false" ht="15" hidden="false" customHeight="false" outlineLevel="0" collapsed="false">
      <c r="B97" s="3" t="s">
        <v>987</v>
      </c>
      <c r="H97" s="3" t="s">
        <v>988</v>
      </c>
      <c r="P97" s="3" t="s">
        <v>989</v>
      </c>
    </row>
    <row r="98" customFormat="false" ht="15" hidden="false" customHeight="false" outlineLevel="0" collapsed="false">
      <c r="B98" s="3" t="s">
        <v>990</v>
      </c>
      <c r="H98" s="3" t="s">
        <v>991</v>
      </c>
      <c r="P98" s="3" t="s">
        <v>992</v>
      </c>
    </row>
    <row r="99" customFormat="false" ht="15" hidden="false" customHeight="false" outlineLevel="0" collapsed="false">
      <c r="B99" s="3" t="s">
        <v>993</v>
      </c>
      <c r="H99" s="3" t="s">
        <v>994</v>
      </c>
      <c r="P99" s="3" t="s">
        <v>995</v>
      </c>
    </row>
    <row r="100" customFormat="false" ht="15" hidden="false" customHeight="false" outlineLevel="0" collapsed="false">
      <c r="B100" s="3" t="s">
        <v>996</v>
      </c>
      <c r="H100" s="3" t="s">
        <v>997</v>
      </c>
      <c r="P100" s="3" t="s">
        <v>998</v>
      </c>
    </row>
    <row r="101" customFormat="false" ht="15" hidden="false" customHeight="false" outlineLevel="0" collapsed="false">
      <c r="B101" s="3" t="s">
        <v>999</v>
      </c>
      <c r="H101" s="3" t="s">
        <v>1000</v>
      </c>
      <c r="P101" s="3" t="s">
        <v>1001</v>
      </c>
    </row>
    <row r="102" customFormat="false" ht="15" hidden="false" customHeight="false" outlineLevel="0" collapsed="false">
      <c r="B102" s="3" t="s">
        <v>855</v>
      </c>
      <c r="H102" s="3" t="s">
        <v>1002</v>
      </c>
      <c r="P102" s="3" t="s">
        <v>1003</v>
      </c>
    </row>
    <row r="103" customFormat="false" ht="15" hidden="false" customHeight="false" outlineLevel="0" collapsed="false">
      <c r="B103" s="3" t="s">
        <v>1004</v>
      </c>
      <c r="H103" s="3" t="s">
        <v>1005</v>
      </c>
      <c r="P103" s="3" t="s">
        <v>1006</v>
      </c>
    </row>
    <row r="104" customFormat="false" ht="15" hidden="false" customHeight="false" outlineLevel="0" collapsed="false">
      <c r="B104" s="3" t="s">
        <v>1007</v>
      </c>
      <c r="H104" s="3" t="s">
        <v>1008</v>
      </c>
      <c r="P104" s="3" t="s">
        <v>1009</v>
      </c>
    </row>
    <row r="105" customFormat="false" ht="15" hidden="false" customHeight="false" outlineLevel="0" collapsed="false">
      <c r="B105" s="3" t="s">
        <v>1010</v>
      </c>
      <c r="H105" s="3" t="s">
        <v>1011</v>
      </c>
      <c r="P105" s="3" t="s">
        <v>1012</v>
      </c>
    </row>
    <row r="106" customFormat="false" ht="15" hidden="false" customHeight="false" outlineLevel="0" collapsed="false">
      <c r="B106" s="3" t="s">
        <v>1013</v>
      </c>
      <c r="H106" s="3" t="s">
        <v>1014</v>
      </c>
      <c r="P106" s="3" t="s">
        <v>1015</v>
      </c>
    </row>
    <row r="107" customFormat="false" ht="15" hidden="false" customHeight="false" outlineLevel="0" collapsed="false">
      <c r="B107" s="3" t="s">
        <v>1016</v>
      </c>
      <c r="H107" s="3" t="s">
        <v>1017</v>
      </c>
      <c r="P107" s="3" t="s">
        <v>1018</v>
      </c>
    </row>
    <row r="108" customFormat="false" ht="15" hidden="false" customHeight="false" outlineLevel="0" collapsed="false">
      <c r="B108" s="3" t="s">
        <v>1019</v>
      </c>
      <c r="H108" s="3" t="s">
        <v>1020</v>
      </c>
      <c r="P108" s="3" t="s">
        <v>1021</v>
      </c>
    </row>
    <row r="109" customFormat="false" ht="15" hidden="false" customHeight="false" outlineLevel="0" collapsed="false">
      <c r="B109" s="3" t="s">
        <v>1022</v>
      </c>
      <c r="H109" s="3" t="s">
        <v>1023</v>
      </c>
      <c r="P109" s="3" t="s">
        <v>1024</v>
      </c>
    </row>
    <row r="110" customFormat="false" ht="15" hidden="false" customHeight="false" outlineLevel="0" collapsed="false">
      <c r="B110" s="3" t="s">
        <v>1025</v>
      </c>
      <c r="H110" s="3" t="s">
        <v>1026</v>
      </c>
      <c r="P110" s="3" t="s">
        <v>1027</v>
      </c>
    </row>
    <row r="111" customFormat="false" ht="15" hidden="false" customHeight="false" outlineLevel="0" collapsed="false">
      <c r="B111" s="3" t="s">
        <v>1028</v>
      </c>
      <c r="H111" s="3" t="s">
        <v>1029</v>
      </c>
      <c r="P111" s="3" t="s">
        <v>1030</v>
      </c>
    </row>
    <row r="112" customFormat="false" ht="15" hidden="false" customHeight="false" outlineLevel="0" collapsed="false">
      <c r="B112" s="3" t="s">
        <v>1031</v>
      </c>
      <c r="H112" s="3" t="s">
        <v>1032</v>
      </c>
      <c r="P112" s="3" t="s">
        <v>1033</v>
      </c>
    </row>
    <row r="113" customFormat="false" ht="15" hidden="false" customHeight="false" outlineLevel="0" collapsed="false">
      <c r="B113" s="3" t="s">
        <v>745</v>
      </c>
      <c r="H113" s="3" t="s">
        <v>1034</v>
      </c>
      <c r="P113" s="3" t="s">
        <v>1035</v>
      </c>
    </row>
    <row r="114" customFormat="false" ht="15" hidden="false" customHeight="false" outlineLevel="0" collapsed="false">
      <c r="B114" s="3" t="s">
        <v>1036</v>
      </c>
      <c r="H114" s="3" t="s">
        <v>1037</v>
      </c>
      <c r="P114" s="3" t="s">
        <v>1038</v>
      </c>
    </row>
    <row r="115" customFormat="false" ht="15" hidden="false" customHeight="false" outlineLevel="0" collapsed="false">
      <c r="B115" s="3" t="s">
        <v>1039</v>
      </c>
      <c r="H115" s="3" t="s">
        <v>1040</v>
      </c>
      <c r="P115" s="3" t="s">
        <v>1041</v>
      </c>
    </row>
    <row r="116" customFormat="false" ht="15" hidden="false" customHeight="false" outlineLevel="0" collapsed="false">
      <c r="B116" s="3" t="s">
        <v>1042</v>
      </c>
      <c r="H116" s="3" t="s">
        <v>1043</v>
      </c>
      <c r="P116" s="3" t="s">
        <v>1044</v>
      </c>
    </row>
    <row r="117" customFormat="false" ht="15" hidden="false" customHeight="false" outlineLevel="0" collapsed="false">
      <c r="B117" s="3" t="s">
        <v>1045</v>
      </c>
      <c r="H117" s="3" t="s">
        <v>1046</v>
      </c>
      <c r="P117" s="3" t="s">
        <v>1047</v>
      </c>
    </row>
    <row r="118" customFormat="false" ht="15" hidden="false" customHeight="false" outlineLevel="0" collapsed="false">
      <c r="B118" s="3" t="s">
        <v>423</v>
      </c>
      <c r="H118" s="3" t="s">
        <v>1048</v>
      </c>
    </row>
    <row r="119" customFormat="false" ht="15" hidden="false" customHeight="false" outlineLevel="0" collapsed="false">
      <c r="B119" s="3" t="s">
        <v>1049</v>
      </c>
      <c r="H119" s="3" t="s">
        <v>1050</v>
      </c>
    </row>
    <row r="120" customFormat="false" ht="15" hidden="false" customHeight="false" outlineLevel="0" collapsed="false">
      <c r="B120" s="3" t="s">
        <v>886</v>
      </c>
      <c r="H120" s="3" t="s">
        <v>1051</v>
      </c>
    </row>
    <row r="121" customFormat="false" ht="15" hidden="false" customHeight="false" outlineLevel="0" collapsed="false">
      <c r="B121" s="3" t="s">
        <v>1052</v>
      </c>
      <c r="H121" s="3" t="s">
        <v>1053</v>
      </c>
    </row>
    <row r="122" customFormat="false" ht="15" hidden="false" customHeight="false" outlineLevel="0" collapsed="false">
      <c r="B122" s="3" t="s">
        <v>1054</v>
      </c>
      <c r="H122" s="3" t="s">
        <v>1055</v>
      </c>
    </row>
    <row r="123" customFormat="false" ht="15" hidden="false" customHeight="false" outlineLevel="0" collapsed="false">
      <c r="B123" s="3" t="s">
        <v>1056</v>
      </c>
      <c r="H123" s="3" t="s">
        <v>1057</v>
      </c>
    </row>
    <row r="124" customFormat="false" ht="15" hidden="false" customHeight="false" outlineLevel="0" collapsed="false">
      <c r="B124" s="3" t="s">
        <v>1058</v>
      </c>
      <c r="H124" s="3" t="s">
        <v>1059</v>
      </c>
    </row>
    <row r="125" customFormat="false" ht="15" hidden="false" customHeight="false" outlineLevel="0" collapsed="false">
      <c r="B125" s="3" t="s">
        <v>1060</v>
      </c>
    </row>
    <row r="126" customFormat="false" ht="15" hidden="false" customHeight="false" outlineLevel="0" collapsed="false">
      <c r="B126" s="3" t="s">
        <v>1061</v>
      </c>
    </row>
    <row r="127" customFormat="false" ht="15" hidden="false" customHeight="false" outlineLevel="0" collapsed="false">
      <c r="B127" s="3"/>
    </row>
    <row r="128" customFormat="false" ht="15" hidden="false" customHeight="false" outlineLevel="0" collapsed="false">
      <c r="B128" s="3"/>
    </row>
    <row r="129" customFormat="false" ht="15" hidden="false" customHeight="false" outlineLevel="0" collapsed="false">
      <c r="B129" s="3"/>
    </row>
    <row r="130" customFormat="false" ht="15" hidden="false" customHeight="false" outlineLevel="0" collapsed="false">
      <c r="B130" s="3"/>
    </row>
    <row r="131" customFormat="false" ht="15" hidden="false" customHeight="false" outlineLevel="0" collapsed="false">
      <c r="B131" s="3"/>
    </row>
    <row r="132" customFormat="false" ht="15" hidden="false" customHeight="false" outlineLevel="0" collapsed="false">
      <c r="B132" s="3"/>
    </row>
    <row r="133" customFormat="false" ht="15" hidden="false" customHeight="false" outlineLevel="0" collapsed="false">
      <c r="B133" s="3"/>
    </row>
    <row r="134" customFormat="false" ht="15" hidden="false" customHeight="false" outlineLevel="0" collapsed="false">
      <c r="B134" s="3"/>
    </row>
    <row r="135" customFormat="false" ht="15" hidden="false" customHeight="false" outlineLevel="0" collapsed="false">
      <c r="B135" s="3"/>
    </row>
    <row r="136" customFormat="false" ht="15" hidden="false" customHeight="false" outlineLevel="0" collapsed="false">
      <c r="B136" s="3"/>
    </row>
    <row r="137" customFormat="false" ht="15" hidden="false" customHeight="false" outlineLevel="0" collapsed="false">
      <c r="B137" s="3"/>
    </row>
    <row r="138" customFormat="false" ht="15" hidden="false" customHeight="false" outlineLevel="0" collapsed="false">
      <c r="B138" s="3"/>
    </row>
    <row r="139" customFormat="false" ht="15" hidden="false" customHeight="false" outlineLevel="0" collapsed="false">
      <c r="B139" s="3"/>
    </row>
    <row r="140" customFormat="false" ht="15" hidden="false" customHeight="false" outlineLevel="0" collapsed="false">
      <c r="B140" s="3"/>
    </row>
    <row r="141" customFormat="false" ht="15" hidden="false" customHeight="false" outlineLevel="0" collapsed="false">
      <c r="B141" s="3"/>
    </row>
    <row r="142" customFormat="false" ht="15" hidden="false" customHeight="false" outlineLevel="0" collapsed="false">
      <c r="B142" s="3"/>
    </row>
    <row r="143" customFormat="false" ht="15" hidden="false" customHeight="false" outlineLevel="0" collapsed="false">
      <c r="B143" s="3"/>
    </row>
    <row r="144" customFormat="false" ht="15" hidden="false" customHeight="false" outlineLevel="0" collapsed="false">
      <c r="B144" s="3"/>
    </row>
    <row r="145" customFormat="false" ht="15" hidden="false" customHeight="false" outlineLevel="0" collapsed="false">
      <c r="B145" s="3"/>
    </row>
    <row r="146" customFormat="false" ht="15" hidden="false" customHeight="false" outlineLevel="0" collapsed="false">
      <c r="B146" s="3"/>
    </row>
    <row r="147" customFormat="false" ht="15" hidden="false" customHeight="false" outlineLevel="0" collapsed="false">
      <c r="B147" s="3"/>
    </row>
    <row r="148" customFormat="false" ht="15" hidden="false" customHeight="false" outlineLevel="0" collapsed="false">
      <c r="B148" s="3"/>
    </row>
    <row r="149" customFormat="false" ht="15" hidden="false" customHeight="false" outlineLevel="0" collapsed="false">
      <c r="B149" s="3"/>
    </row>
    <row r="150" customFormat="false" ht="15" hidden="false" customHeight="false" outlineLevel="0" collapsed="false">
      <c r="B150" s="3"/>
    </row>
    <row r="151" customFormat="false" ht="15" hidden="false" customHeight="false" outlineLevel="0" collapsed="false">
      <c r="B151" s="3"/>
    </row>
    <row r="152" customFormat="false" ht="15" hidden="false" customHeight="false" outlineLevel="0" collapsed="false">
      <c r="B152" s="3"/>
    </row>
    <row r="153" customFormat="false" ht="15" hidden="false" customHeight="false" outlineLevel="0" collapsed="false">
      <c r="B153" s="3"/>
    </row>
    <row r="154" customFormat="false" ht="15" hidden="false" customHeight="false" outlineLevel="0" collapsed="false">
      <c r="B154" s="3"/>
    </row>
    <row r="155" customFormat="false" ht="15" hidden="false" customHeight="false" outlineLevel="0" collapsed="false">
      <c r="B155" s="3"/>
    </row>
    <row r="156" customFormat="false" ht="15" hidden="false" customHeight="false" outlineLevel="0" collapsed="false">
      <c r="B156" s="3"/>
    </row>
    <row r="157" customFormat="false" ht="15" hidden="false" customHeight="false" outlineLevel="0" collapsed="false">
      <c r="B157" s="3"/>
    </row>
    <row r="158" customFormat="false" ht="15" hidden="false" customHeight="false" outlineLevel="0" collapsed="false">
      <c r="B158" s="3"/>
    </row>
    <row r="159" customFormat="false" ht="15" hidden="false" customHeight="false" outlineLevel="0" collapsed="false">
      <c r="B159" s="3"/>
    </row>
    <row r="160" customFormat="false" ht="15" hidden="false" customHeight="false" outlineLevel="0" collapsed="false">
      <c r="B160" s="3"/>
    </row>
    <row r="161" customFormat="false" ht="15" hidden="false" customHeight="false" outlineLevel="0" collapsed="false">
      <c r="B161" s="3"/>
    </row>
    <row r="162" customFormat="false" ht="15" hidden="false" customHeight="false" outlineLevel="0" collapsed="false">
      <c r="B162" s="3"/>
    </row>
    <row r="163" customFormat="false" ht="15" hidden="false" customHeight="false" outlineLevel="0" collapsed="false">
      <c r="B163" s="3"/>
    </row>
    <row r="164" customFormat="false" ht="15" hidden="false" customHeight="false" outlineLevel="0" collapsed="false">
      <c r="B164" s="3"/>
    </row>
    <row r="165" customFormat="false" ht="15" hidden="false" customHeight="false" outlineLevel="0" collapsed="false">
      <c r="B165" s="3"/>
    </row>
    <row r="166" customFormat="false" ht="15" hidden="false" customHeight="false" outlineLevel="0" collapsed="false">
      <c r="B166" s="3"/>
    </row>
    <row r="167" customFormat="false" ht="15" hidden="false" customHeight="false" outlineLevel="0" collapsed="false">
      <c r="B167" s="3"/>
    </row>
    <row r="168" customFormat="false" ht="15" hidden="false" customHeight="false" outlineLevel="0" collapsed="false">
      <c r="B168" s="3"/>
    </row>
    <row r="169" customFormat="false" ht="15" hidden="false" customHeight="false" outlineLevel="0" collapsed="false">
      <c r="B169" s="3"/>
    </row>
    <row r="170" customFormat="false" ht="15" hidden="false" customHeight="false" outlineLevel="0" collapsed="false">
      <c r="B170" s="3"/>
    </row>
    <row r="171" customFormat="false" ht="15" hidden="false" customHeight="false" outlineLevel="0" collapsed="false">
      <c r="B171" s="3"/>
    </row>
    <row r="172" customFormat="false" ht="15" hidden="false" customHeight="false" outlineLevel="0" collapsed="false">
      <c r="B172" s="3"/>
    </row>
    <row r="173" customFormat="false" ht="15" hidden="false" customHeight="false" outlineLevel="0" collapsed="false">
      <c r="B173" s="3"/>
    </row>
    <row r="174" customFormat="false" ht="15" hidden="false" customHeight="false" outlineLevel="0" collapsed="false">
      <c r="B174" s="3"/>
    </row>
    <row r="175" customFormat="false" ht="15" hidden="false" customHeight="false" outlineLevel="0" collapsed="false">
      <c r="B175" s="3"/>
    </row>
    <row r="176" customFormat="false" ht="15" hidden="false" customHeight="false" outlineLevel="0" collapsed="false">
      <c r="B176" s="3"/>
    </row>
    <row r="177" customFormat="false" ht="15" hidden="false" customHeight="false" outlineLevel="0" collapsed="false">
      <c r="B177" s="3"/>
    </row>
    <row r="178" customFormat="false" ht="15" hidden="false" customHeight="false" outlineLevel="0" collapsed="false">
      <c r="B178" s="3"/>
    </row>
    <row r="179" customFormat="false" ht="15" hidden="false" customHeight="false" outlineLevel="0" collapsed="false">
      <c r="B179" s="3"/>
    </row>
    <row r="180" customFormat="false" ht="15" hidden="false" customHeight="false" outlineLevel="0" collapsed="false">
      <c r="B180" s="3"/>
    </row>
    <row r="181" customFormat="false" ht="15" hidden="false" customHeight="false" outlineLevel="0" collapsed="false">
      <c r="B181" s="3"/>
    </row>
    <row r="182" customFormat="false" ht="15" hidden="false" customHeight="false" outlineLevel="0" collapsed="false">
      <c r="B182" s="3"/>
    </row>
    <row r="183" customFormat="false" ht="15" hidden="false" customHeight="false" outlineLevel="0" collapsed="false">
      <c r="B183" s="3"/>
    </row>
    <row r="184" customFormat="false" ht="15" hidden="false" customHeight="false" outlineLevel="0" collapsed="false">
      <c r="B184" s="3"/>
    </row>
    <row r="185" customFormat="false" ht="15" hidden="false" customHeight="false" outlineLevel="0" collapsed="false">
      <c r="B185" s="3"/>
    </row>
    <row r="186" customFormat="false" ht="15" hidden="false" customHeight="false" outlineLevel="0" collapsed="false">
      <c r="B186" s="3"/>
    </row>
    <row r="187" customFormat="false" ht="15" hidden="false" customHeight="false" outlineLevel="0" collapsed="false">
      <c r="B187" s="3"/>
    </row>
    <row r="188" customFormat="false" ht="15" hidden="false" customHeight="false" outlineLevel="0" collapsed="false">
      <c r="B188" s="3"/>
    </row>
    <row r="189" customFormat="false" ht="15" hidden="false" customHeight="false" outlineLevel="0" collapsed="false">
      <c r="B189" s="3"/>
    </row>
    <row r="190" customFormat="false" ht="15" hidden="false" customHeight="false" outlineLevel="0" collapsed="false">
      <c r="B190" s="3"/>
    </row>
    <row r="191" customFormat="false" ht="15" hidden="false" customHeight="false" outlineLevel="0" collapsed="false">
      <c r="B191" s="3"/>
    </row>
    <row r="192" customFormat="false" ht="15" hidden="false" customHeight="false" outlineLevel="0" collapsed="false">
      <c r="B192" s="3"/>
    </row>
    <row r="193" customFormat="false" ht="15" hidden="false" customHeight="false" outlineLevel="0" collapsed="false">
      <c r="B193" s="3"/>
    </row>
    <row r="194" customFormat="false" ht="15" hidden="false" customHeight="false" outlineLevel="0" collapsed="false">
      <c r="B194" s="3"/>
    </row>
    <row r="195" customFormat="false" ht="15" hidden="false" customHeight="false" outlineLevel="0" collapsed="false">
      <c r="B195" s="3"/>
    </row>
    <row r="196" customFormat="false" ht="15" hidden="false" customHeight="false" outlineLevel="0" collapsed="false">
      <c r="B196" s="3"/>
    </row>
    <row r="197" customFormat="false" ht="15" hidden="false" customHeight="false" outlineLevel="0" collapsed="false">
      <c r="B197" s="3"/>
    </row>
    <row r="198" customFormat="false" ht="15" hidden="false" customHeight="false" outlineLevel="0" collapsed="false">
      <c r="B198" s="3"/>
    </row>
    <row r="199" customFormat="false" ht="15" hidden="false" customHeight="false" outlineLevel="0" collapsed="false">
      <c r="B199" s="3"/>
    </row>
    <row r="200" customFormat="false" ht="15" hidden="false" customHeight="false" outlineLevel="0" collapsed="false">
      <c r="B200" s="3"/>
    </row>
    <row r="201" customFormat="false" ht="15" hidden="false" customHeight="false" outlineLevel="0" collapsed="false">
      <c r="B201" s="3"/>
    </row>
    <row r="202" customFormat="false" ht="15" hidden="false" customHeight="false" outlineLevel="0" collapsed="false">
      <c r="B202" s="3"/>
    </row>
    <row r="203" customFormat="false" ht="15" hidden="false" customHeight="false" outlineLevel="0" collapsed="false">
      <c r="B203" s="3"/>
    </row>
    <row r="204" customFormat="false" ht="15" hidden="false" customHeight="false" outlineLevel="0" collapsed="false">
      <c r="B204" s="3"/>
    </row>
    <row r="205" customFormat="false" ht="15" hidden="false" customHeight="false" outlineLevel="0" collapsed="false">
      <c r="B205" s="3"/>
    </row>
    <row r="206" customFormat="false" ht="15" hidden="false" customHeight="false" outlineLevel="0" collapsed="false">
      <c r="B206" s="3"/>
    </row>
    <row r="207" customFormat="false" ht="15" hidden="false" customHeight="false" outlineLevel="0" collapsed="false">
      <c r="B207" s="3"/>
    </row>
    <row r="208" customFormat="false" ht="15" hidden="false" customHeight="false" outlineLevel="0" collapsed="false">
      <c r="B208" s="3"/>
    </row>
    <row r="209" customFormat="false" ht="15" hidden="false" customHeight="false" outlineLevel="0" collapsed="false">
      <c r="B209" s="3"/>
    </row>
    <row r="210" customFormat="false" ht="15" hidden="false" customHeight="false" outlineLevel="0" collapsed="false">
      <c r="B210" s="3"/>
    </row>
    <row r="211" customFormat="false" ht="15" hidden="false" customHeight="false" outlineLevel="0" collapsed="false">
      <c r="B211" s="3"/>
    </row>
    <row r="212" customFormat="false" ht="15" hidden="false" customHeight="false" outlineLevel="0" collapsed="false">
      <c r="B212" s="3"/>
    </row>
    <row r="213" customFormat="false" ht="15" hidden="false" customHeight="false" outlineLevel="0" collapsed="false">
      <c r="B213" s="3"/>
    </row>
    <row r="214" customFormat="false" ht="15" hidden="false" customHeight="false" outlineLevel="0" collapsed="false">
      <c r="B214" s="3"/>
    </row>
    <row r="215" customFormat="false" ht="15" hidden="false" customHeight="false" outlineLevel="0" collapsed="false">
      <c r="B215" s="3"/>
    </row>
    <row r="216" customFormat="false" ht="15" hidden="false" customHeight="false" outlineLevel="0" collapsed="false">
      <c r="B216" s="3"/>
    </row>
    <row r="217" customFormat="false" ht="15" hidden="false" customHeight="false" outlineLevel="0" collapsed="false">
      <c r="B217" s="3"/>
    </row>
    <row r="218" customFormat="false" ht="15" hidden="false" customHeight="false" outlineLevel="0" collapsed="false">
      <c r="B218" s="3"/>
    </row>
    <row r="219" customFormat="false" ht="15" hidden="false" customHeight="false" outlineLevel="0" collapsed="false">
      <c r="B219" s="3"/>
    </row>
    <row r="220" customFormat="false" ht="15" hidden="false" customHeight="false" outlineLevel="0" collapsed="false">
      <c r="B220" s="3"/>
    </row>
    <row r="221" customFormat="false" ht="15" hidden="false" customHeight="false" outlineLevel="0" collapsed="false">
      <c r="B221" s="3"/>
    </row>
    <row r="222" customFormat="false" ht="15" hidden="false" customHeight="false" outlineLevel="0" collapsed="false">
      <c r="B222" s="3"/>
    </row>
    <row r="223" customFormat="false" ht="15" hidden="false" customHeight="false" outlineLevel="0" collapsed="false">
      <c r="B223" s="3"/>
    </row>
    <row r="224" customFormat="false" ht="15" hidden="false" customHeight="false" outlineLevel="0" collapsed="false">
      <c r="B224" s="3"/>
    </row>
    <row r="225" customFormat="false" ht="15" hidden="false" customHeight="false" outlineLevel="0" collapsed="false">
      <c r="B225" s="3"/>
    </row>
    <row r="226" customFormat="false" ht="15" hidden="false" customHeight="false" outlineLevel="0" collapsed="false">
      <c r="B226" s="3"/>
    </row>
    <row r="227" customFormat="false" ht="15" hidden="false" customHeight="false" outlineLevel="0" collapsed="false">
      <c r="B227" s="3"/>
    </row>
    <row r="228" customFormat="false" ht="15" hidden="false" customHeight="false" outlineLevel="0" collapsed="false">
      <c r="B228" s="3"/>
    </row>
    <row r="229" customFormat="false" ht="15" hidden="false" customHeight="false" outlineLevel="0" collapsed="false">
      <c r="B229" s="3"/>
    </row>
    <row r="230" customFormat="false" ht="15" hidden="false" customHeight="false" outlineLevel="0" collapsed="false">
      <c r="B230" s="3"/>
    </row>
    <row r="231" customFormat="false" ht="15" hidden="false" customHeight="false" outlineLevel="0" collapsed="false">
      <c r="B231" s="3"/>
    </row>
    <row r="232" customFormat="false" ht="15" hidden="false" customHeight="false" outlineLevel="0" collapsed="false">
      <c r="B232" s="3"/>
    </row>
    <row r="233" customFormat="false" ht="15" hidden="false" customHeight="false" outlineLevel="0" collapsed="false">
      <c r="B233" s="3"/>
    </row>
    <row r="234" customFormat="false" ht="15" hidden="false" customHeight="false" outlineLevel="0" collapsed="false">
      <c r="B234" s="3"/>
    </row>
    <row r="235" customFormat="false" ht="15" hidden="false" customHeight="false" outlineLevel="0" collapsed="false">
      <c r="B235" s="3"/>
    </row>
    <row r="236" customFormat="false" ht="15" hidden="false" customHeight="false" outlineLevel="0" collapsed="false">
      <c r="B236" s="3"/>
    </row>
    <row r="237" customFormat="false" ht="15" hidden="false" customHeight="false" outlineLevel="0" collapsed="false">
      <c r="B237" s="3"/>
    </row>
    <row r="238" customFormat="false" ht="15" hidden="false" customHeight="false" outlineLevel="0" collapsed="false">
      <c r="B238" s="3"/>
    </row>
    <row r="239" customFormat="false" ht="15" hidden="false" customHeight="false" outlineLevel="0" collapsed="false">
      <c r="B239" s="3"/>
    </row>
    <row r="240" customFormat="false" ht="15" hidden="false" customHeight="false" outlineLevel="0" collapsed="false">
      <c r="B240" s="3"/>
    </row>
    <row r="241" customFormat="false" ht="15" hidden="false" customHeight="false" outlineLevel="0" collapsed="false">
      <c r="B241" s="3"/>
    </row>
    <row r="242" customFormat="false" ht="15" hidden="false" customHeight="false" outlineLevel="0" collapsed="false">
      <c r="B242" s="3"/>
    </row>
    <row r="243" customFormat="false" ht="15" hidden="false" customHeight="false" outlineLevel="0" collapsed="false">
      <c r="B243" s="3"/>
    </row>
    <row r="244" customFormat="false" ht="15" hidden="false" customHeight="false" outlineLevel="0" collapsed="false">
      <c r="B244" s="3"/>
    </row>
    <row r="245" customFormat="false" ht="15" hidden="false" customHeight="false" outlineLevel="0" collapsed="false">
      <c r="B245" s="3"/>
    </row>
    <row r="246" customFormat="false" ht="15" hidden="false" customHeight="false" outlineLevel="0" collapsed="false">
      <c r="B246" s="3"/>
    </row>
    <row r="247" customFormat="false" ht="15" hidden="false" customHeight="false" outlineLevel="0" collapsed="false">
      <c r="B247" s="3"/>
    </row>
    <row r="248" customFormat="false" ht="15" hidden="false" customHeight="false" outlineLevel="0" collapsed="false">
      <c r="B248" s="3"/>
    </row>
    <row r="249" customFormat="false" ht="15" hidden="false" customHeight="false" outlineLevel="0" collapsed="false">
      <c r="B249" s="3"/>
    </row>
    <row r="250" customFormat="false" ht="15" hidden="false" customHeight="false" outlineLevel="0" collapsed="false">
      <c r="B250" s="3"/>
    </row>
    <row r="251" customFormat="false" ht="15" hidden="false" customHeight="false" outlineLevel="0" collapsed="false">
      <c r="B251" s="3"/>
    </row>
    <row r="252" customFormat="false" ht="15" hidden="false" customHeight="false" outlineLevel="0" collapsed="false">
      <c r="B252" s="3"/>
    </row>
    <row r="253" customFormat="false" ht="15" hidden="false" customHeight="false" outlineLevel="0" collapsed="false">
      <c r="B253" s="3"/>
    </row>
    <row r="254" customFormat="false" ht="15" hidden="false" customHeight="false" outlineLevel="0" collapsed="false">
      <c r="B254" s="3"/>
    </row>
    <row r="255" customFormat="false" ht="15" hidden="false" customHeight="false" outlineLevel="0" collapsed="false">
      <c r="B255" s="3"/>
    </row>
    <row r="256" customFormat="false" ht="15" hidden="false" customHeight="false" outlineLevel="0" collapsed="false">
      <c r="B256" s="3"/>
    </row>
    <row r="257" customFormat="false" ht="15" hidden="false" customHeight="false" outlineLevel="0" collapsed="false">
      <c r="B257" s="3"/>
    </row>
    <row r="258" customFormat="false" ht="15" hidden="false" customHeight="false" outlineLevel="0" collapsed="false">
      <c r="B258" s="3"/>
    </row>
    <row r="259" customFormat="false" ht="15" hidden="false" customHeight="false" outlineLevel="0" collapsed="false">
      <c r="B259" s="3"/>
    </row>
    <row r="260" customFormat="false" ht="15" hidden="false" customHeight="false" outlineLevel="0" collapsed="false">
      <c r="B260" s="3"/>
    </row>
    <row r="261" customFormat="false" ht="15" hidden="false" customHeight="false" outlineLevel="0" collapsed="false">
      <c r="B261" s="3"/>
    </row>
    <row r="262" customFormat="false" ht="15" hidden="false" customHeight="false" outlineLevel="0" collapsed="false">
      <c r="B262" s="3"/>
    </row>
    <row r="263" customFormat="false" ht="15" hidden="false" customHeight="false" outlineLevel="0" collapsed="false">
      <c r="B263" s="3"/>
    </row>
    <row r="264" customFormat="false" ht="15" hidden="false" customHeight="false" outlineLevel="0" collapsed="false">
      <c r="B264" s="3"/>
    </row>
    <row r="265" customFormat="false" ht="15" hidden="false" customHeight="false" outlineLevel="0" collapsed="false">
      <c r="B265" s="3"/>
    </row>
    <row r="266" customFormat="false" ht="15" hidden="false" customHeight="false" outlineLevel="0" collapsed="false">
      <c r="B266" s="3"/>
    </row>
    <row r="267" customFormat="false" ht="15" hidden="false" customHeight="false" outlineLevel="0" collapsed="false">
      <c r="B267" s="3"/>
    </row>
    <row r="268" customFormat="false" ht="15" hidden="false" customHeight="false" outlineLevel="0" collapsed="false">
      <c r="B268" s="3"/>
    </row>
    <row r="269" customFormat="false" ht="15" hidden="false" customHeight="false" outlineLevel="0" collapsed="false">
      <c r="B269" s="3"/>
    </row>
    <row r="270" customFormat="false" ht="15" hidden="false" customHeight="false" outlineLevel="0" collapsed="false">
      <c r="B270" s="3"/>
    </row>
    <row r="271" customFormat="false" ht="15" hidden="false" customHeight="false" outlineLevel="0" collapsed="false">
      <c r="B271" s="3"/>
    </row>
    <row r="272" customFormat="false" ht="15" hidden="false" customHeight="false" outlineLevel="0" collapsed="false">
      <c r="B272" s="3"/>
    </row>
    <row r="273" customFormat="false" ht="15" hidden="false" customHeight="false" outlineLevel="0" collapsed="false">
      <c r="B273" s="3"/>
    </row>
    <row r="274" customFormat="false" ht="15" hidden="false" customHeight="false" outlineLevel="0" collapsed="false">
      <c r="B274" s="3"/>
    </row>
    <row r="275" customFormat="false" ht="15" hidden="false" customHeight="false" outlineLevel="0" collapsed="false">
      <c r="B275" s="3"/>
    </row>
    <row r="276" customFormat="false" ht="15" hidden="false" customHeight="false" outlineLevel="0" collapsed="false">
      <c r="B276" s="3"/>
    </row>
    <row r="277" customFormat="false" ht="15" hidden="false" customHeight="false" outlineLevel="0" collapsed="false">
      <c r="B277" s="3"/>
    </row>
    <row r="278" customFormat="false" ht="15" hidden="false" customHeight="false" outlineLevel="0" collapsed="false">
      <c r="B278" s="3"/>
    </row>
    <row r="279" customFormat="false" ht="15" hidden="false" customHeight="false" outlineLevel="0" collapsed="false">
      <c r="B279" s="3"/>
    </row>
    <row r="280" customFormat="false" ht="15" hidden="false" customHeight="false" outlineLevel="0" collapsed="false">
      <c r="B280" s="3"/>
    </row>
    <row r="281" customFormat="false" ht="15" hidden="false" customHeight="false" outlineLevel="0" collapsed="false">
      <c r="B281" s="3"/>
    </row>
    <row r="282" customFormat="false" ht="15" hidden="false" customHeight="false" outlineLevel="0" collapsed="false">
      <c r="B282" s="3"/>
    </row>
    <row r="283" customFormat="false" ht="15" hidden="false" customHeight="false" outlineLevel="0" collapsed="false">
      <c r="B283" s="3"/>
    </row>
    <row r="284" customFormat="false" ht="15" hidden="false" customHeight="false" outlineLevel="0" collapsed="false">
      <c r="B284" s="3"/>
    </row>
    <row r="285" customFormat="false" ht="15" hidden="false" customHeight="false" outlineLevel="0" collapsed="false">
      <c r="B285" s="3"/>
    </row>
    <row r="286" customFormat="false" ht="15" hidden="false" customHeight="false" outlineLevel="0" collapsed="false">
      <c r="B286" s="3"/>
    </row>
    <row r="287" customFormat="false" ht="15" hidden="false" customHeight="false" outlineLevel="0" collapsed="false">
      <c r="B287" s="3"/>
    </row>
    <row r="288" customFormat="false" ht="15" hidden="false" customHeight="false" outlineLevel="0" collapsed="false">
      <c r="B288" s="3"/>
    </row>
    <row r="289" customFormat="false" ht="15" hidden="false" customHeight="false" outlineLevel="0" collapsed="false">
      <c r="B289" s="3"/>
    </row>
    <row r="290" customFormat="false" ht="15" hidden="false" customHeight="false" outlineLevel="0" collapsed="false">
      <c r="B290" s="3"/>
    </row>
    <row r="291" customFormat="false" ht="15" hidden="false" customHeight="false" outlineLevel="0" collapsed="false">
      <c r="B291" s="3"/>
    </row>
    <row r="292" customFormat="false" ht="15" hidden="false" customHeight="false" outlineLevel="0" collapsed="false">
      <c r="B292" s="3"/>
    </row>
    <row r="293" customFormat="false" ht="15" hidden="false" customHeight="false" outlineLevel="0" collapsed="false">
      <c r="B293" s="3"/>
    </row>
    <row r="294" customFormat="false" ht="15" hidden="false" customHeight="false" outlineLevel="0" collapsed="false">
      <c r="B294" s="3"/>
    </row>
    <row r="295" customFormat="false" ht="15" hidden="false" customHeight="false" outlineLevel="0" collapsed="false">
      <c r="B295" s="3"/>
    </row>
    <row r="296" customFormat="false" ht="15" hidden="false" customHeight="false" outlineLevel="0" collapsed="false">
      <c r="B296" s="3"/>
    </row>
    <row r="297" customFormat="false" ht="15" hidden="false" customHeight="false" outlineLevel="0" collapsed="false">
      <c r="B297" s="3"/>
    </row>
    <row r="298" customFormat="false" ht="15" hidden="false" customHeight="false" outlineLevel="0" collapsed="false">
      <c r="B298" s="3"/>
    </row>
    <row r="299" customFormat="false" ht="15" hidden="false" customHeight="false" outlineLevel="0" collapsed="false">
      <c r="B299" s="3"/>
    </row>
    <row r="300" customFormat="false" ht="15" hidden="false" customHeight="false" outlineLevel="0" collapsed="false">
      <c r="B300" s="3"/>
    </row>
    <row r="301" customFormat="false" ht="15" hidden="false" customHeight="false" outlineLevel="0" collapsed="false">
      <c r="B301" s="3"/>
    </row>
    <row r="302" customFormat="false" ht="15" hidden="false" customHeight="false" outlineLevel="0" collapsed="false">
      <c r="B302" s="3"/>
    </row>
    <row r="303" customFormat="false" ht="15" hidden="false" customHeight="false" outlineLevel="0" collapsed="false">
      <c r="B303" s="3"/>
    </row>
    <row r="304" customFormat="false" ht="15" hidden="false" customHeight="false" outlineLevel="0" collapsed="false">
      <c r="B304" s="3"/>
    </row>
    <row r="305" customFormat="false" ht="15" hidden="false" customHeight="false" outlineLevel="0" collapsed="false">
      <c r="B305" s="3"/>
    </row>
    <row r="306" customFormat="false" ht="15" hidden="false" customHeight="false" outlineLevel="0" collapsed="false">
      <c r="B306" s="3"/>
    </row>
    <row r="307" customFormat="false" ht="15" hidden="false" customHeight="false" outlineLevel="0" collapsed="false">
      <c r="B307" s="3"/>
    </row>
    <row r="308" customFormat="false" ht="15" hidden="false" customHeight="false" outlineLevel="0" collapsed="false">
      <c r="B308" s="3"/>
    </row>
    <row r="309" customFormat="false" ht="15" hidden="false" customHeight="false" outlineLevel="0" collapsed="false">
      <c r="B309" s="3"/>
    </row>
    <row r="310" customFormat="false" ht="15" hidden="false" customHeight="false" outlineLevel="0" collapsed="false">
      <c r="B310" s="3"/>
    </row>
    <row r="311" customFormat="false" ht="15" hidden="false" customHeight="false" outlineLevel="0" collapsed="false">
      <c r="B311" s="3"/>
    </row>
    <row r="312" customFormat="false" ht="15" hidden="false" customHeight="false" outlineLevel="0" collapsed="false">
      <c r="B312" s="3"/>
    </row>
    <row r="313" customFormat="false" ht="15" hidden="false" customHeight="false" outlineLevel="0" collapsed="false">
      <c r="B313" s="3"/>
    </row>
    <row r="314" customFormat="false" ht="15" hidden="false" customHeight="false" outlineLevel="0" collapsed="false">
      <c r="B314" s="3"/>
    </row>
    <row r="315" customFormat="false" ht="15" hidden="false" customHeight="false" outlineLevel="0" collapsed="false">
      <c r="B315" s="3"/>
    </row>
    <row r="316" customFormat="false" ht="15" hidden="false" customHeight="false" outlineLevel="0" collapsed="false">
      <c r="B316" s="3"/>
    </row>
    <row r="317" customFormat="false" ht="15" hidden="false" customHeight="false" outlineLevel="0" collapsed="false">
      <c r="B317" s="3"/>
    </row>
    <row r="318" customFormat="false" ht="15" hidden="false" customHeight="false" outlineLevel="0" collapsed="false">
      <c r="B318" s="3"/>
    </row>
    <row r="319" customFormat="false" ht="15" hidden="false" customHeight="false" outlineLevel="0" collapsed="false">
      <c r="B319" s="3"/>
    </row>
    <row r="320" customFormat="false" ht="15" hidden="false" customHeight="false" outlineLevel="0" collapsed="false">
      <c r="B320" s="3"/>
    </row>
    <row r="321" customFormat="false" ht="15" hidden="false" customHeight="false" outlineLevel="0" collapsed="false">
      <c r="B321" s="3"/>
    </row>
    <row r="322" customFormat="false" ht="15" hidden="false" customHeight="false" outlineLevel="0" collapsed="false">
      <c r="B322" s="3"/>
    </row>
    <row r="323" customFormat="false" ht="15" hidden="false" customHeight="false" outlineLevel="0" collapsed="false">
      <c r="B323" s="3"/>
    </row>
    <row r="324" customFormat="false" ht="15" hidden="false" customHeight="false" outlineLevel="0" collapsed="false">
      <c r="B324" s="3"/>
    </row>
    <row r="325" customFormat="false" ht="15" hidden="false" customHeight="false" outlineLevel="0" collapsed="false">
      <c r="B325" s="3"/>
    </row>
    <row r="326" customFormat="false" ht="15" hidden="false" customHeight="false" outlineLevel="0" collapsed="false">
      <c r="B326" s="3"/>
    </row>
    <row r="327" customFormat="false" ht="15" hidden="false" customHeight="false" outlineLevel="0" collapsed="false">
      <c r="B327" s="3"/>
    </row>
    <row r="328" customFormat="false" ht="15" hidden="false" customHeight="false" outlineLevel="0" collapsed="false">
      <c r="B328" s="3"/>
    </row>
    <row r="329" customFormat="false" ht="15" hidden="false" customHeight="false" outlineLevel="0" collapsed="false">
      <c r="B329" s="3"/>
    </row>
    <row r="330" customFormat="false" ht="15" hidden="false" customHeight="false" outlineLevel="0" collapsed="false">
      <c r="B330" s="3"/>
    </row>
    <row r="331" customFormat="false" ht="15" hidden="false" customHeight="false" outlineLevel="0" collapsed="false">
      <c r="B331" s="3"/>
    </row>
    <row r="332" customFormat="false" ht="15" hidden="false" customHeight="false" outlineLevel="0" collapsed="false">
      <c r="B332" s="3"/>
    </row>
    <row r="333" customFormat="false" ht="15" hidden="false" customHeight="false" outlineLevel="0" collapsed="false">
      <c r="B333" s="3"/>
    </row>
    <row r="334" customFormat="false" ht="15" hidden="false" customHeight="false" outlineLevel="0" collapsed="false">
      <c r="B334" s="3"/>
    </row>
    <row r="335" customFormat="false" ht="15" hidden="false" customHeight="false" outlineLevel="0" collapsed="false">
      <c r="B335" s="3"/>
    </row>
    <row r="336" customFormat="false" ht="15" hidden="false" customHeight="false" outlineLevel="0" collapsed="false">
      <c r="B336" s="3"/>
    </row>
    <row r="337" customFormat="false" ht="15" hidden="false" customHeight="false" outlineLevel="0" collapsed="false">
      <c r="B337" s="3"/>
    </row>
    <row r="338" customFormat="false" ht="15" hidden="false" customHeight="false" outlineLevel="0" collapsed="false">
      <c r="B338" s="3"/>
    </row>
    <row r="339" customFormat="false" ht="15" hidden="false" customHeight="false" outlineLevel="0" collapsed="false">
      <c r="B339" s="3"/>
    </row>
    <row r="340" customFormat="false" ht="15" hidden="false" customHeight="false" outlineLevel="0" collapsed="false">
      <c r="B340" s="3"/>
    </row>
    <row r="341" customFormat="false" ht="15" hidden="false" customHeight="false" outlineLevel="0" collapsed="false">
      <c r="B341" s="3"/>
    </row>
    <row r="342" customFormat="false" ht="15" hidden="false" customHeight="false" outlineLevel="0" collapsed="false">
      <c r="B342" s="3"/>
    </row>
    <row r="343" customFormat="false" ht="15" hidden="false" customHeight="false" outlineLevel="0" collapsed="false">
      <c r="B343" s="3"/>
    </row>
    <row r="344" customFormat="false" ht="15" hidden="false" customHeight="false" outlineLevel="0" collapsed="false">
      <c r="B344" s="3"/>
    </row>
    <row r="345" customFormat="false" ht="15" hidden="false" customHeight="false" outlineLevel="0" collapsed="false">
      <c r="B345" s="3"/>
    </row>
    <row r="346" customFormat="false" ht="15" hidden="false" customHeight="false" outlineLevel="0" collapsed="false">
      <c r="B346" s="3"/>
    </row>
    <row r="347" customFormat="false" ht="15" hidden="false" customHeight="false" outlineLevel="0" collapsed="false">
      <c r="B347" s="3"/>
    </row>
    <row r="348" customFormat="false" ht="15" hidden="false" customHeight="false" outlineLevel="0" collapsed="false">
      <c r="B348" s="3"/>
    </row>
    <row r="349" customFormat="false" ht="15" hidden="false" customHeight="false" outlineLevel="0" collapsed="false">
      <c r="B349" s="3"/>
    </row>
    <row r="350" customFormat="false" ht="15" hidden="false" customHeight="false" outlineLevel="0" collapsed="false">
      <c r="B350" s="3"/>
    </row>
    <row r="351" customFormat="false" ht="15" hidden="false" customHeight="false" outlineLevel="0" collapsed="false">
      <c r="B351" s="3"/>
    </row>
    <row r="352" customFormat="false" ht="15" hidden="false" customHeight="false" outlineLevel="0" collapsed="false">
      <c r="B352" s="3"/>
    </row>
    <row r="353" customFormat="false" ht="15" hidden="false" customHeight="false" outlineLevel="0" collapsed="false">
      <c r="B353" s="3"/>
    </row>
    <row r="354" customFormat="false" ht="15" hidden="false" customHeight="false" outlineLevel="0" collapsed="false">
      <c r="B354" s="3"/>
    </row>
    <row r="355" customFormat="false" ht="15" hidden="false" customHeight="false" outlineLevel="0" collapsed="false">
      <c r="B355" s="3"/>
    </row>
    <row r="356" customFormat="false" ht="15" hidden="false" customHeight="false" outlineLevel="0" collapsed="false">
      <c r="B356" s="3"/>
    </row>
    <row r="357" customFormat="false" ht="15" hidden="false" customHeight="false" outlineLevel="0" collapsed="false">
      <c r="B357" s="3"/>
    </row>
    <row r="358" customFormat="false" ht="15" hidden="false" customHeight="false" outlineLevel="0" collapsed="false">
      <c r="B358" s="3"/>
    </row>
    <row r="359" customFormat="false" ht="15" hidden="false" customHeight="false" outlineLevel="0" collapsed="false">
      <c r="B359" s="3"/>
    </row>
    <row r="360" customFormat="false" ht="15" hidden="false" customHeight="false" outlineLevel="0" collapsed="false">
      <c r="B360" s="3"/>
    </row>
    <row r="361" customFormat="false" ht="15" hidden="false" customHeight="false" outlineLevel="0" collapsed="false">
      <c r="B361" s="3"/>
    </row>
    <row r="362" customFormat="false" ht="15" hidden="false" customHeight="false" outlineLevel="0" collapsed="false">
      <c r="B362" s="3"/>
    </row>
    <row r="363" customFormat="false" ht="15" hidden="false" customHeight="false" outlineLevel="0" collapsed="false">
      <c r="B363" s="3"/>
    </row>
    <row r="364" customFormat="false" ht="15" hidden="false" customHeight="false" outlineLevel="0" collapsed="false">
      <c r="B364" s="3"/>
    </row>
    <row r="365" customFormat="false" ht="15" hidden="false" customHeight="false" outlineLevel="0" collapsed="false">
      <c r="B365" s="3"/>
    </row>
    <row r="366" customFormat="false" ht="15" hidden="false" customHeight="false" outlineLevel="0" collapsed="false">
      <c r="B366" s="3"/>
    </row>
    <row r="367" customFormat="false" ht="15" hidden="false" customHeight="false" outlineLevel="0" collapsed="false">
      <c r="B367" s="3"/>
    </row>
    <row r="368" customFormat="false" ht="15" hidden="false" customHeight="false" outlineLevel="0" collapsed="false">
      <c r="B368" s="3"/>
    </row>
    <row r="369" customFormat="false" ht="15" hidden="false" customHeight="false" outlineLevel="0" collapsed="false">
      <c r="B369" s="3"/>
    </row>
    <row r="370" customFormat="false" ht="15" hidden="false" customHeight="false" outlineLevel="0" collapsed="false">
      <c r="B370" s="3"/>
    </row>
    <row r="371" customFormat="false" ht="15" hidden="false" customHeight="false" outlineLevel="0" collapsed="false">
      <c r="B371" s="3"/>
    </row>
    <row r="372" customFormat="false" ht="15" hidden="false" customHeight="false" outlineLevel="0" collapsed="false">
      <c r="B372" s="3"/>
    </row>
    <row r="373" customFormat="false" ht="15" hidden="false" customHeight="false" outlineLevel="0" collapsed="false">
      <c r="B373" s="3"/>
    </row>
    <row r="374" customFormat="false" ht="15" hidden="false" customHeight="false" outlineLevel="0" collapsed="false">
      <c r="B374" s="3"/>
    </row>
    <row r="375" customFormat="false" ht="15" hidden="false" customHeight="false" outlineLevel="0" collapsed="false">
      <c r="B375" s="3"/>
    </row>
    <row r="376" customFormat="false" ht="15" hidden="false" customHeight="false" outlineLevel="0" collapsed="false">
      <c r="B376" s="3"/>
    </row>
    <row r="377" customFormat="false" ht="15" hidden="false" customHeight="false" outlineLevel="0" collapsed="false">
      <c r="B377" s="3"/>
    </row>
    <row r="378" customFormat="false" ht="15" hidden="false" customHeight="false" outlineLevel="0" collapsed="false">
      <c r="B378" s="3"/>
    </row>
    <row r="379" customFormat="false" ht="15" hidden="false" customHeight="false" outlineLevel="0" collapsed="false">
      <c r="B379" s="3"/>
    </row>
    <row r="380" customFormat="false" ht="15" hidden="false" customHeight="false" outlineLevel="0" collapsed="false">
      <c r="B380" s="3"/>
    </row>
    <row r="381" customFormat="false" ht="15" hidden="false" customHeight="false" outlineLevel="0" collapsed="false">
      <c r="B381" s="3"/>
    </row>
    <row r="382" customFormat="false" ht="15" hidden="false" customHeight="false" outlineLevel="0" collapsed="false">
      <c r="B382" s="3"/>
    </row>
    <row r="383" customFormat="false" ht="15" hidden="false" customHeight="false" outlineLevel="0" collapsed="false">
      <c r="B383" s="3"/>
    </row>
    <row r="384" customFormat="false" ht="15" hidden="false" customHeight="false" outlineLevel="0" collapsed="false">
      <c r="B384" s="3"/>
    </row>
    <row r="385" customFormat="false" ht="15" hidden="false" customHeight="false" outlineLevel="0" collapsed="false">
      <c r="B385" s="3"/>
    </row>
    <row r="386" customFormat="false" ht="15" hidden="false" customHeight="false" outlineLevel="0" collapsed="false">
      <c r="B386" s="3"/>
    </row>
    <row r="387" customFormat="false" ht="15" hidden="false" customHeight="false" outlineLevel="0" collapsed="false">
      <c r="B387" s="3"/>
    </row>
    <row r="388" customFormat="false" ht="15" hidden="false" customHeight="false" outlineLevel="0" collapsed="false">
      <c r="B388" s="3"/>
    </row>
    <row r="389" customFormat="false" ht="15" hidden="false" customHeight="false" outlineLevel="0" collapsed="false">
      <c r="B389" s="3"/>
    </row>
    <row r="390" customFormat="false" ht="15" hidden="false" customHeight="false" outlineLevel="0" collapsed="false">
      <c r="B390" s="3"/>
    </row>
    <row r="391" customFormat="false" ht="15" hidden="false" customHeight="false" outlineLevel="0" collapsed="false">
      <c r="B391" s="3"/>
    </row>
    <row r="392" customFormat="false" ht="15" hidden="false" customHeight="false" outlineLevel="0" collapsed="false">
      <c r="B392" s="3"/>
    </row>
    <row r="393" customFormat="false" ht="15" hidden="false" customHeight="false" outlineLevel="0" collapsed="false">
      <c r="B393" s="3"/>
    </row>
    <row r="394" customFormat="false" ht="15" hidden="false" customHeight="false" outlineLevel="0" collapsed="false">
      <c r="B394" s="3"/>
    </row>
    <row r="395" customFormat="false" ht="15" hidden="false" customHeight="false" outlineLevel="0" collapsed="false">
      <c r="B395" s="3"/>
    </row>
    <row r="396" customFormat="false" ht="15" hidden="false" customHeight="false" outlineLevel="0" collapsed="false">
      <c r="B396" s="3"/>
    </row>
    <row r="397" customFormat="false" ht="15" hidden="false" customHeight="false" outlineLevel="0" collapsed="false">
      <c r="B397" s="3"/>
    </row>
    <row r="398" customFormat="false" ht="15" hidden="false" customHeight="false" outlineLevel="0" collapsed="false">
      <c r="B398" s="3"/>
    </row>
    <row r="399" customFormat="false" ht="15" hidden="false" customHeight="false" outlineLevel="0" collapsed="false">
      <c r="B399" s="3"/>
    </row>
    <row r="400" customFormat="false" ht="15" hidden="false" customHeight="false" outlineLevel="0" collapsed="false">
      <c r="B400" s="3"/>
    </row>
    <row r="401" customFormat="false" ht="15" hidden="false" customHeight="false" outlineLevel="0" collapsed="false">
      <c r="B401" s="3"/>
    </row>
    <row r="402" customFormat="false" ht="15" hidden="false" customHeight="false" outlineLevel="0" collapsed="false">
      <c r="B402" s="3"/>
    </row>
    <row r="403" customFormat="false" ht="15" hidden="false" customHeight="false" outlineLevel="0" collapsed="false">
      <c r="B403" s="3"/>
    </row>
    <row r="404" customFormat="false" ht="15" hidden="false" customHeight="false" outlineLevel="0" collapsed="false">
      <c r="B404" s="3"/>
    </row>
    <row r="405" customFormat="false" ht="15" hidden="false" customHeight="false" outlineLevel="0" collapsed="false">
      <c r="B405" s="3"/>
    </row>
    <row r="406" customFormat="false" ht="15" hidden="false" customHeight="false" outlineLevel="0" collapsed="false">
      <c r="B406" s="3"/>
    </row>
    <row r="407" customFormat="false" ht="15" hidden="false" customHeight="false" outlineLevel="0" collapsed="false">
      <c r="B407" s="3"/>
    </row>
    <row r="408" customFormat="false" ht="15" hidden="false" customHeight="false" outlineLevel="0" collapsed="false">
      <c r="B408" s="3"/>
    </row>
    <row r="409" customFormat="false" ht="15" hidden="false" customHeight="false" outlineLevel="0" collapsed="false">
      <c r="B409" s="3"/>
    </row>
    <row r="410" customFormat="false" ht="15" hidden="false" customHeight="false" outlineLevel="0" collapsed="false">
      <c r="B410" s="3"/>
    </row>
    <row r="411" customFormat="false" ht="15" hidden="false" customHeight="false" outlineLevel="0" collapsed="false">
      <c r="B411" s="3"/>
    </row>
    <row r="412" customFormat="false" ht="15" hidden="false" customHeight="false" outlineLevel="0" collapsed="false">
      <c r="B412" s="3"/>
    </row>
    <row r="413" customFormat="false" ht="15" hidden="false" customHeight="false" outlineLevel="0" collapsed="false">
      <c r="B413" s="3"/>
    </row>
    <row r="414" customFormat="false" ht="15" hidden="false" customHeight="false" outlineLevel="0" collapsed="false">
      <c r="B414" s="3"/>
    </row>
    <row r="415" customFormat="false" ht="15" hidden="false" customHeight="false" outlineLevel="0" collapsed="false">
      <c r="B415" s="3"/>
    </row>
    <row r="416" customFormat="false" ht="15" hidden="false" customHeight="false" outlineLevel="0" collapsed="false">
      <c r="B416" s="3"/>
    </row>
    <row r="417" customFormat="false" ht="15" hidden="false" customHeight="false" outlineLevel="0" collapsed="false">
      <c r="B417" s="3"/>
    </row>
    <row r="418" customFormat="false" ht="15" hidden="false" customHeight="false" outlineLevel="0" collapsed="false">
      <c r="B418" s="3"/>
    </row>
    <row r="419" customFormat="false" ht="15" hidden="false" customHeight="false" outlineLevel="0" collapsed="false">
      <c r="B419" s="3"/>
    </row>
    <row r="420" customFormat="false" ht="15" hidden="false" customHeight="false" outlineLevel="0" collapsed="false">
      <c r="B420" s="3"/>
    </row>
    <row r="421" customFormat="false" ht="15" hidden="false" customHeight="false" outlineLevel="0" collapsed="false">
      <c r="B421" s="3"/>
    </row>
    <row r="422" customFormat="false" ht="15" hidden="false" customHeight="false" outlineLevel="0" collapsed="false">
      <c r="B422" s="3"/>
    </row>
    <row r="423" customFormat="false" ht="15" hidden="false" customHeight="false" outlineLevel="0" collapsed="false">
      <c r="B423" s="3"/>
    </row>
    <row r="424" customFormat="false" ht="15" hidden="false" customHeight="false" outlineLevel="0" collapsed="false">
      <c r="B424" s="3"/>
    </row>
    <row r="425" customFormat="false" ht="15" hidden="false" customHeight="false" outlineLevel="0" collapsed="false">
      <c r="B425" s="3"/>
    </row>
    <row r="426" customFormat="false" ht="15" hidden="false" customHeight="false" outlineLevel="0" collapsed="false">
      <c r="B426" s="3"/>
    </row>
    <row r="427" customFormat="false" ht="15" hidden="false" customHeight="false" outlineLevel="0" collapsed="false">
      <c r="B427" s="3"/>
    </row>
    <row r="428" customFormat="false" ht="15" hidden="false" customHeight="false" outlineLevel="0" collapsed="false">
      <c r="B428" s="3"/>
    </row>
    <row r="429" customFormat="false" ht="15" hidden="false" customHeight="false" outlineLevel="0" collapsed="false">
      <c r="B429" s="3"/>
    </row>
    <row r="430" customFormat="false" ht="15" hidden="false" customHeight="false" outlineLevel="0" collapsed="false">
      <c r="B430" s="3"/>
    </row>
    <row r="431" customFormat="false" ht="15" hidden="false" customHeight="false" outlineLevel="0" collapsed="false">
      <c r="B431" s="3"/>
    </row>
    <row r="432" customFormat="false" ht="15" hidden="false" customHeight="false" outlineLevel="0" collapsed="false">
      <c r="B432" s="3"/>
    </row>
    <row r="433" customFormat="false" ht="15" hidden="false" customHeight="false" outlineLevel="0" collapsed="false">
      <c r="B433" s="3"/>
    </row>
    <row r="434" customFormat="false" ht="15" hidden="false" customHeight="false" outlineLevel="0" collapsed="false">
      <c r="B434" s="3"/>
    </row>
    <row r="435" customFormat="false" ht="15" hidden="false" customHeight="false" outlineLevel="0" collapsed="false">
      <c r="B435" s="3"/>
    </row>
    <row r="436" customFormat="false" ht="15" hidden="false" customHeight="false" outlineLevel="0" collapsed="false">
      <c r="B436" s="3"/>
    </row>
    <row r="437" customFormat="false" ht="15" hidden="false" customHeight="false" outlineLevel="0" collapsed="false">
      <c r="B437" s="3"/>
    </row>
    <row r="438" customFormat="false" ht="15" hidden="false" customHeight="false" outlineLevel="0" collapsed="false">
      <c r="B438" s="3"/>
    </row>
    <row r="439" customFormat="false" ht="15" hidden="false" customHeight="false" outlineLevel="0" collapsed="false">
      <c r="B439" s="3"/>
    </row>
    <row r="440" customFormat="false" ht="15" hidden="false" customHeight="false" outlineLevel="0" collapsed="false">
      <c r="B440" s="3"/>
    </row>
    <row r="441" customFormat="false" ht="15" hidden="false" customHeight="false" outlineLevel="0" collapsed="false">
      <c r="B441" s="3"/>
    </row>
    <row r="442" customFormat="false" ht="15" hidden="false" customHeight="false" outlineLevel="0" collapsed="false">
      <c r="B442" s="3"/>
    </row>
    <row r="443" customFormat="false" ht="15" hidden="false" customHeight="false" outlineLevel="0" collapsed="false">
      <c r="B443" s="3"/>
    </row>
    <row r="444" customFormat="false" ht="15" hidden="false" customHeight="false" outlineLevel="0" collapsed="false">
      <c r="B444" s="3"/>
    </row>
    <row r="445" customFormat="false" ht="15" hidden="false" customHeight="false" outlineLevel="0" collapsed="false">
      <c r="B445" s="3"/>
    </row>
    <row r="446" customFormat="false" ht="15" hidden="false" customHeight="false" outlineLevel="0" collapsed="false">
      <c r="B446" s="3"/>
    </row>
    <row r="447" customFormat="false" ht="15" hidden="false" customHeight="false" outlineLevel="0" collapsed="false">
      <c r="B447" s="3"/>
    </row>
    <row r="448" customFormat="false" ht="15" hidden="false" customHeight="false" outlineLevel="0" collapsed="false">
      <c r="B448" s="3"/>
    </row>
    <row r="449" customFormat="false" ht="15" hidden="false" customHeight="false" outlineLevel="0" collapsed="false">
      <c r="B449" s="3"/>
    </row>
    <row r="450" customFormat="false" ht="15" hidden="false" customHeight="false" outlineLevel="0" collapsed="false">
      <c r="B450" s="3"/>
    </row>
    <row r="451" customFormat="false" ht="15" hidden="false" customHeight="false" outlineLevel="0" collapsed="false">
      <c r="B451" s="3"/>
    </row>
    <row r="452" customFormat="false" ht="15" hidden="false" customHeight="false" outlineLevel="0" collapsed="false">
      <c r="B452" s="3"/>
    </row>
    <row r="453" customFormat="false" ht="15" hidden="false" customHeight="false" outlineLevel="0" collapsed="false">
      <c r="B453" s="3"/>
    </row>
    <row r="454" customFormat="false" ht="15" hidden="false" customHeight="false" outlineLevel="0" collapsed="false">
      <c r="B454" s="3"/>
    </row>
    <row r="455" customFormat="false" ht="15" hidden="false" customHeight="false" outlineLevel="0" collapsed="false">
      <c r="B455" s="3"/>
    </row>
    <row r="456" customFormat="false" ht="15" hidden="false" customHeight="false" outlineLevel="0" collapsed="false">
      <c r="B456" s="3"/>
    </row>
    <row r="457" customFormat="false" ht="15" hidden="false" customHeight="false" outlineLevel="0" collapsed="false">
      <c r="B457" s="3"/>
    </row>
    <row r="458" customFormat="false" ht="15" hidden="false" customHeight="false" outlineLevel="0" collapsed="false">
      <c r="B458" s="3"/>
    </row>
    <row r="459" customFormat="false" ht="15" hidden="false" customHeight="false" outlineLevel="0" collapsed="false">
      <c r="B459" s="3"/>
    </row>
    <row r="460" customFormat="false" ht="15" hidden="false" customHeight="false" outlineLevel="0" collapsed="false">
      <c r="B460" s="3"/>
    </row>
    <row r="461" customFormat="false" ht="15" hidden="false" customHeight="false" outlineLevel="0" collapsed="false">
      <c r="B461" s="3"/>
    </row>
    <row r="462" customFormat="false" ht="15" hidden="false" customHeight="false" outlineLevel="0" collapsed="false">
      <c r="B462" s="3"/>
    </row>
    <row r="463" customFormat="false" ht="15" hidden="false" customHeight="false" outlineLevel="0" collapsed="false">
      <c r="B463" s="3"/>
    </row>
    <row r="464" customFormat="false" ht="15" hidden="false" customHeight="false" outlineLevel="0" collapsed="false">
      <c r="B464" s="3"/>
    </row>
    <row r="465" customFormat="false" ht="15" hidden="false" customHeight="false" outlineLevel="0" collapsed="false">
      <c r="B465" s="3"/>
    </row>
    <row r="466" customFormat="false" ht="15" hidden="false" customHeight="false" outlineLevel="0" collapsed="false">
      <c r="B466" s="3"/>
    </row>
    <row r="467" customFormat="false" ht="15" hidden="false" customHeight="false" outlineLevel="0" collapsed="false">
      <c r="B467" s="3"/>
    </row>
    <row r="468" customFormat="false" ht="15" hidden="false" customHeight="false" outlineLevel="0" collapsed="false">
      <c r="B468" s="3"/>
    </row>
    <row r="469" customFormat="false" ht="15" hidden="false" customHeight="false" outlineLevel="0" collapsed="false">
      <c r="B469" s="3"/>
    </row>
    <row r="470" customFormat="false" ht="15" hidden="false" customHeight="false" outlineLevel="0" collapsed="false">
      <c r="B470" s="3"/>
    </row>
    <row r="471" customFormat="false" ht="15" hidden="false" customHeight="false" outlineLevel="0" collapsed="false">
      <c r="B471" s="3"/>
    </row>
    <row r="472" customFormat="false" ht="15" hidden="false" customHeight="false" outlineLevel="0" collapsed="false">
      <c r="B472" s="3"/>
    </row>
    <row r="473" customFormat="false" ht="15" hidden="false" customHeight="false" outlineLevel="0" collapsed="false">
      <c r="B473" s="3"/>
    </row>
    <row r="474" customFormat="false" ht="15" hidden="false" customHeight="false" outlineLevel="0" collapsed="false">
      <c r="B474" s="3"/>
    </row>
    <row r="475" customFormat="false" ht="15" hidden="false" customHeight="false" outlineLevel="0" collapsed="false">
      <c r="B475" s="3"/>
    </row>
    <row r="476" customFormat="false" ht="15" hidden="false" customHeight="false" outlineLevel="0" collapsed="false">
      <c r="B476" s="3"/>
    </row>
    <row r="477" customFormat="false" ht="15" hidden="false" customHeight="false" outlineLevel="0" collapsed="false">
      <c r="B477" s="3"/>
    </row>
    <row r="478" customFormat="false" ht="15" hidden="false" customHeight="false" outlineLevel="0" collapsed="false">
      <c r="B478" s="3"/>
    </row>
    <row r="479" customFormat="false" ht="15" hidden="false" customHeight="false" outlineLevel="0" collapsed="false">
      <c r="B479" s="3"/>
    </row>
    <row r="480" customFormat="false" ht="15" hidden="false" customHeight="false" outlineLevel="0" collapsed="false">
      <c r="B480" s="3"/>
    </row>
    <row r="481" customFormat="false" ht="15" hidden="false" customHeight="false" outlineLevel="0" collapsed="false">
      <c r="B481" s="3"/>
    </row>
    <row r="482" customFormat="false" ht="15" hidden="false" customHeight="false" outlineLevel="0" collapsed="false">
      <c r="B482" s="3"/>
    </row>
    <row r="483" customFormat="false" ht="15" hidden="false" customHeight="false" outlineLevel="0" collapsed="false">
      <c r="B483" s="3"/>
    </row>
    <row r="484" customFormat="false" ht="15" hidden="false" customHeight="false" outlineLevel="0" collapsed="false">
      <c r="B484" s="3"/>
    </row>
    <row r="485" customFormat="false" ht="15" hidden="false" customHeight="false" outlineLevel="0" collapsed="false">
      <c r="B485" s="3"/>
    </row>
    <row r="486" customFormat="false" ht="15" hidden="false" customHeight="false" outlineLevel="0" collapsed="false">
      <c r="B486" s="3"/>
    </row>
    <row r="487" customFormat="false" ht="15" hidden="false" customHeight="false" outlineLevel="0" collapsed="false">
      <c r="B487" s="3"/>
    </row>
    <row r="488" customFormat="false" ht="15" hidden="false" customHeight="false" outlineLevel="0" collapsed="false">
      <c r="B488" s="3"/>
    </row>
    <row r="489" customFormat="false" ht="15" hidden="false" customHeight="false" outlineLevel="0" collapsed="false">
      <c r="B489" s="3"/>
    </row>
    <row r="490" customFormat="false" ht="15" hidden="false" customHeight="false" outlineLevel="0" collapsed="false">
      <c r="B490" s="3"/>
    </row>
    <row r="491" customFormat="false" ht="15" hidden="false" customHeight="false" outlineLevel="0" collapsed="false">
      <c r="B491" s="3"/>
    </row>
    <row r="492" customFormat="false" ht="15" hidden="false" customHeight="false" outlineLevel="0" collapsed="false">
      <c r="B492" s="3"/>
    </row>
    <row r="493" customFormat="false" ht="15" hidden="false" customHeight="false" outlineLevel="0" collapsed="false">
      <c r="B493" s="3"/>
    </row>
    <row r="494" customFormat="false" ht="15" hidden="false" customHeight="false" outlineLevel="0" collapsed="false">
      <c r="B494" s="3"/>
    </row>
    <row r="495" customFormat="false" ht="15" hidden="false" customHeight="false" outlineLevel="0" collapsed="false">
      <c r="B495" s="3"/>
    </row>
    <row r="496" customFormat="false" ht="15" hidden="false" customHeight="false" outlineLevel="0" collapsed="false">
      <c r="B496" s="3"/>
    </row>
    <row r="497" customFormat="false" ht="15" hidden="false" customHeight="false" outlineLevel="0" collapsed="false">
      <c r="B497" s="3"/>
    </row>
    <row r="498" customFormat="false" ht="15" hidden="false" customHeight="false" outlineLevel="0" collapsed="false">
      <c r="B498" s="3"/>
    </row>
    <row r="499" customFormat="false" ht="15" hidden="false" customHeight="false" outlineLevel="0" collapsed="false">
      <c r="B499" s="3"/>
    </row>
    <row r="500" customFormat="false" ht="15" hidden="false" customHeight="false" outlineLevel="0" collapsed="false">
      <c r="B500" s="3"/>
    </row>
    <row r="501" customFormat="false" ht="15" hidden="false" customHeight="false" outlineLevel="0" collapsed="false">
      <c r="B501" s="3"/>
    </row>
    <row r="502" customFormat="false" ht="15" hidden="false" customHeight="false" outlineLevel="0" collapsed="false">
      <c r="B502" s="3"/>
    </row>
    <row r="503" customFormat="false" ht="15" hidden="false" customHeight="false" outlineLevel="0" collapsed="false">
      <c r="B503" s="3"/>
    </row>
    <row r="504" customFormat="false" ht="15" hidden="false" customHeight="false" outlineLevel="0" collapsed="false">
      <c r="B504" s="3"/>
    </row>
    <row r="505" customFormat="false" ht="15" hidden="false" customHeight="false" outlineLevel="0" collapsed="false">
      <c r="B505" s="3"/>
    </row>
    <row r="506" customFormat="false" ht="15" hidden="false" customHeight="false" outlineLevel="0" collapsed="false">
      <c r="B506" s="3"/>
    </row>
    <row r="507" customFormat="false" ht="15" hidden="false" customHeight="false" outlineLevel="0" collapsed="false">
      <c r="B507" s="3"/>
    </row>
    <row r="508" customFormat="false" ht="15" hidden="false" customHeight="false" outlineLevel="0" collapsed="false">
      <c r="B508" s="3"/>
    </row>
    <row r="509" customFormat="false" ht="15" hidden="false" customHeight="false" outlineLevel="0" collapsed="false">
      <c r="B509" s="3"/>
    </row>
    <row r="510" customFormat="false" ht="15" hidden="false" customHeight="false" outlineLevel="0" collapsed="false">
      <c r="B510" s="3"/>
    </row>
    <row r="511" customFormat="false" ht="15" hidden="false" customHeight="false" outlineLevel="0" collapsed="false">
      <c r="B511" s="3"/>
    </row>
    <row r="512" customFormat="false" ht="15" hidden="false" customHeight="false" outlineLevel="0" collapsed="false">
      <c r="B512" s="3"/>
    </row>
    <row r="513" customFormat="false" ht="15" hidden="false" customHeight="false" outlineLevel="0" collapsed="false">
      <c r="B513" s="3"/>
    </row>
    <row r="514" customFormat="false" ht="15" hidden="false" customHeight="false" outlineLevel="0" collapsed="false">
      <c r="B514" s="3"/>
    </row>
    <row r="515" customFormat="false" ht="15" hidden="false" customHeight="false" outlineLevel="0" collapsed="false">
      <c r="B515" s="3"/>
    </row>
    <row r="516" customFormat="false" ht="15" hidden="false" customHeight="false" outlineLevel="0" collapsed="false">
      <c r="B516" s="3"/>
    </row>
    <row r="517" customFormat="false" ht="15" hidden="false" customHeight="false" outlineLevel="0" collapsed="false">
      <c r="B517" s="3"/>
    </row>
    <row r="518" customFormat="false" ht="15" hidden="false" customHeight="false" outlineLevel="0" collapsed="false">
      <c r="B518" s="3"/>
    </row>
    <row r="519" customFormat="false" ht="15" hidden="false" customHeight="false" outlineLevel="0" collapsed="false">
      <c r="B519" s="3"/>
    </row>
    <row r="520" customFormat="false" ht="15" hidden="false" customHeight="false" outlineLevel="0" collapsed="false">
      <c r="B520" s="3"/>
    </row>
    <row r="521" customFormat="false" ht="15" hidden="false" customHeight="false" outlineLevel="0" collapsed="false">
      <c r="B521" s="3"/>
    </row>
    <row r="522" customFormat="false" ht="15" hidden="false" customHeight="false" outlineLevel="0" collapsed="false">
      <c r="B522" s="3"/>
    </row>
    <row r="523" customFormat="false" ht="15" hidden="false" customHeight="false" outlineLevel="0" collapsed="false">
      <c r="B523" s="3"/>
    </row>
    <row r="524" customFormat="false" ht="15" hidden="false" customHeight="false" outlineLevel="0" collapsed="false">
      <c r="B524" s="3"/>
    </row>
    <row r="525" customFormat="false" ht="15" hidden="false" customHeight="false" outlineLevel="0" collapsed="false">
      <c r="B525" s="3"/>
    </row>
    <row r="526" customFormat="false" ht="15" hidden="false" customHeight="false" outlineLevel="0" collapsed="false">
      <c r="B526" s="3"/>
    </row>
    <row r="527" customFormat="false" ht="15" hidden="false" customHeight="false" outlineLevel="0" collapsed="false">
      <c r="B527" s="3"/>
    </row>
    <row r="528" customFormat="false" ht="15" hidden="false" customHeight="false" outlineLevel="0" collapsed="false">
      <c r="B528" s="3"/>
    </row>
    <row r="529" customFormat="false" ht="15" hidden="false" customHeight="false" outlineLevel="0" collapsed="false">
      <c r="B529" s="3"/>
    </row>
    <row r="530" customFormat="false" ht="15" hidden="false" customHeight="false" outlineLevel="0" collapsed="false">
      <c r="B530" s="3"/>
    </row>
    <row r="531" customFormat="false" ht="15" hidden="false" customHeight="false" outlineLevel="0" collapsed="false">
      <c r="B531" s="3"/>
    </row>
    <row r="532" customFormat="false" ht="15" hidden="false" customHeight="false" outlineLevel="0" collapsed="false">
      <c r="B532" s="3"/>
    </row>
    <row r="533" customFormat="false" ht="15" hidden="false" customHeight="false" outlineLevel="0" collapsed="false">
      <c r="B533" s="3"/>
    </row>
    <row r="534" customFormat="false" ht="15" hidden="false" customHeight="false" outlineLevel="0" collapsed="false">
      <c r="B534" s="3"/>
    </row>
    <row r="535" customFormat="false" ht="15" hidden="false" customHeight="false" outlineLevel="0" collapsed="false">
      <c r="B535" s="3"/>
    </row>
    <row r="536" customFormat="false" ht="15" hidden="false" customHeight="false" outlineLevel="0" collapsed="false">
      <c r="B536" s="3"/>
    </row>
    <row r="537" customFormat="false" ht="15" hidden="false" customHeight="false" outlineLevel="0" collapsed="false">
      <c r="B537" s="3"/>
    </row>
    <row r="538" customFormat="false" ht="15" hidden="false" customHeight="false" outlineLevel="0" collapsed="false">
      <c r="B538" s="3"/>
    </row>
    <row r="539" customFormat="false" ht="15" hidden="false" customHeight="false" outlineLevel="0" collapsed="false">
      <c r="B539" s="3"/>
    </row>
    <row r="540" customFormat="false" ht="15" hidden="false" customHeight="false" outlineLevel="0" collapsed="false">
      <c r="B540" s="3"/>
    </row>
    <row r="541" customFormat="false" ht="15" hidden="false" customHeight="false" outlineLevel="0" collapsed="false">
      <c r="B541" s="3"/>
    </row>
    <row r="542" customFormat="false" ht="15" hidden="false" customHeight="false" outlineLevel="0" collapsed="false">
      <c r="B542" s="3"/>
    </row>
    <row r="543" customFormat="false" ht="15" hidden="false" customHeight="false" outlineLevel="0" collapsed="false">
      <c r="B543" s="3"/>
    </row>
    <row r="544" customFormat="false" ht="15" hidden="false" customHeight="false" outlineLevel="0" collapsed="false">
      <c r="B544" s="3"/>
    </row>
    <row r="545" customFormat="false" ht="15" hidden="false" customHeight="false" outlineLevel="0" collapsed="false">
      <c r="B545" s="3"/>
    </row>
    <row r="546" customFormat="false" ht="15" hidden="false" customHeight="false" outlineLevel="0" collapsed="false">
      <c r="B546" s="3"/>
    </row>
    <row r="547" customFormat="false" ht="15" hidden="false" customHeight="false" outlineLevel="0" collapsed="false">
      <c r="B547" s="3"/>
    </row>
    <row r="548" customFormat="false" ht="15" hidden="false" customHeight="false" outlineLevel="0" collapsed="false">
      <c r="B548" s="3"/>
    </row>
    <row r="549" customFormat="false" ht="15" hidden="false" customHeight="false" outlineLevel="0" collapsed="false">
      <c r="B549" s="3"/>
    </row>
    <row r="550" customFormat="false" ht="15" hidden="false" customHeight="false" outlineLevel="0" collapsed="false">
      <c r="B550" s="3"/>
    </row>
    <row r="551" customFormat="false" ht="15" hidden="false" customHeight="false" outlineLevel="0" collapsed="false">
      <c r="B551" s="3"/>
    </row>
    <row r="552" customFormat="false" ht="15" hidden="false" customHeight="false" outlineLevel="0" collapsed="false">
      <c r="B552" s="3"/>
    </row>
    <row r="553" customFormat="false" ht="15" hidden="false" customHeight="false" outlineLevel="0" collapsed="false">
      <c r="B553" s="3"/>
    </row>
    <row r="554" customFormat="false" ht="15" hidden="false" customHeight="false" outlineLevel="0" collapsed="false">
      <c r="B554" s="3"/>
    </row>
    <row r="555" customFormat="false" ht="15" hidden="false" customHeight="false" outlineLevel="0" collapsed="false">
      <c r="B555" s="3"/>
    </row>
    <row r="556" customFormat="false" ht="15" hidden="false" customHeight="false" outlineLevel="0" collapsed="false">
      <c r="B556" s="3"/>
    </row>
    <row r="557" customFormat="false" ht="15" hidden="false" customHeight="false" outlineLevel="0" collapsed="false">
      <c r="B557" s="3"/>
    </row>
    <row r="558" customFormat="false" ht="15" hidden="false" customHeight="false" outlineLevel="0" collapsed="false">
      <c r="B558" s="3"/>
    </row>
    <row r="559" customFormat="false" ht="15" hidden="false" customHeight="false" outlineLevel="0" collapsed="false">
      <c r="B559" s="3"/>
    </row>
    <row r="560" customFormat="false" ht="15" hidden="false" customHeight="false" outlineLevel="0" collapsed="false">
      <c r="B560" s="3"/>
    </row>
    <row r="561" customFormat="false" ht="15" hidden="false" customHeight="false" outlineLevel="0" collapsed="false">
      <c r="B561" s="3"/>
    </row>
    <row r="562" customFormat="false" ht="15" hidden="false" customHeight="false" outlineLevel="0" collapsed="false">
      <c r="B562" s="3"/>
    </row>
    <row r="563" customFormat="false" ht="15" hidden="false" customHeight="false" outlineLevel="0" collapsed="false">
      <c r="B563" s="3"/>
    </row>
    <row r="564" customFormat="false" ht="15" hidden="false" customHeight="false" outlineLevel="0" collapsed="false">
      <c r="B564" s="3"/>
    </row>
    <row r="565" customFormat="false" ht="15" hidden="false" customHeight="false" outlineLevel="0" collapsed="false">
      <c r="B565" s="3"/>
    </row>
    <row r="566" customFormat="false" ht="15" hidden="false" customHeight="false" outlineLevel="0" collapsed="false">
      <c r="B566" s="3"/>
    </row>
    <row r="567" customFormat="false" ht="15" hidden="false" customHeight="false" outlineLevel="0" collapsed="false">
      <c r="B567" s="3"/>
    </row>
    <row r="568" customFormat="false" ht="15" hidden="false" customHeight="false" outlineLevel="0" collapsed="false">
      <c r="B568" s="3"/>
    </row>
    <row r="569" customFormat="false" ht="15" hidden="false" customHeight="false" outlineLevel="0" collapsed="false">
      <c r="B569" s="3"/>
    </row>
    <row r="570" customFormat="false" ht="15" hidden="false" customHeight="false" outlineLevel="0" collapsed="false">
      <c r="B570" s="3"/>
    </row>
    <row r="571" customFormat="false" ht="15" hidden="false" customHeight="false" outlineLevel="0" collapsed="false">
      <c r="B571" s="3"/>
    </row>
    <row r="572" customFormat="false" ht="15" hidden="false" customHeight="false" outlineLevel="0" collapsed="false">
      <c r="B572" s="3"/>
    </row>
    <row r="573" customFormat="false" ht="15" hidden="false" customHeight="false" outlineLevel="0" collapsed="false">
      <c r="B573" s="3"/>
    </row>
    <row r="574" customFormat="false" ht="15" hidden="false" customHeight="false" outlineLevel="0" collapsed="false">
      <c r="B574" s="3"/>
    </row>
    <row r="575" customFormat="false" ht="15" hidden="false" customHeight="false" outlineLevel="0" collapsed="false">
      <c r="B575" s="3"/>
    </row>
    <row r="576" customFormat="false" ht="15" hidden="false" customHeight="false" outlineLevel="0" collapsed="false">
      <c r="B576" s="3"/>
    </row>
    <row r="577" customFormat="false" ht="15" hidden="false" customHeight="false" outlineLevel="0" collapsed="false">
      <c r="B577" s="3"/>
    </row>
    <row r="578" customFormat="false" ht="15" hidden="false" customHeight="false" outlineLevel="0" collapsed="false">
      <c r="B578" s="3"/>
    </row>
    <row r="579" customFormat="false" ht="15" hidden="false" customHeight="false" outlineLevel="0" collapsed="false">
      <c r="B579" s="3"/>
    </row>
    <row r="580" customFormat="false" ht="15" hidden="false" customHeight="false" outlineLevel="0" collapsed="false">
      <c r="B580" s="3"/>
    </row>
    <row r="581" customFormat="false" ht="15" hidden="false" customHeight="false" outlineLevel="0" collapsed="false">
      <c r="B581" s="3"/>
    </row>
    <row r="582" customFormat="false" ht="15" hidden="false" customHeight="false" outlineLevel="0" collapsed="false">
      <c r="B582" s="3"/>
    </row>
    <row r="583" customFormat="false" ht="15" hidden="false" customHeight="false" outlineLevel="0" collapsed="false">
      <c r="B583" s="3"/>
    </row>
    <row r="584" customFormat="false" ht="15" hidden="false" customHeight="false" outlineLevel="0" collapsed="false">
      <c r="B584" s="3"/>
    </row>
    <row r="585" customFormat="false" ht="15" hidden="false" customHeight="false" outlineLevel="0" collapsed="false">
      <c r="B585" s="3"/>
    </row>
    <row r="586" customFormat="false" ht="15" hidden="false" customHeight="false" outlineLevel="0" collapsed="false">
      <c r="B586" s="3"/>
    </row>
    <row r="587" customFormat="false" ht="15" hidden="false" customHeight="false" outlineLevel="0" collapsed="false">
      <c r="B587" s="3"/>
    </row>
    <row r="588" customFormat="false" ht="15" hidden="false" customHeight="false" outlineLevel="0" collapsed="false">
      <c r="B588" s="3"/>
    </row>
    <row r="589" customFormat="false" ht="15" hidden="false" customHeight="false" outlineLevel="0" collapsed="false">
      <c r="B589" s="3"/>
    </row>
    <row r="590" customFormat="false" ht="15" hidden="false" customHeight="false" outlineLevel="0" collapsed="false">
      <c r="B590" s="3"/>
    </row>
    <row r="591" customFormat="false" ht="15" hidden="false" customHeight="false" outlineLevel="0" collapsed="false">
      <c r="B591" s="3"/>
    </row>
    <row r="592" customFormat="false" ht="15" hidden="false" customHeight="false" outlineLevel="0" collapsed="false">
      <c r="B592" s="3"/>
    </row>
    <row r="593" customFormat="false" ht="15" hidden="false" customHeight="false" outlineLevel="0" collapsed="false">
      <c r="B593" s="3"/>
    </row>
    <row r="594" customFormat="false" ht="15" hidden="false" customHeight="false" outlineLevel="0" collapsed="false">
      <c r="B594" s="3"/>
    </row>
    <row r="595" customFormat="false" ht="15" hidden="false" customHeight="false" outlineLevel="0" collapsed="false">
      <c r="B595" s="3"/>
    </row>
    <row r="596" customFormat="false" ht="15" hidden="false" customHeight="false" outlineLevel="0" collapsed="false">
      <c r="B596" s="3"/>
    </row>
    <row r="597" customFormat="false" ht="15" hidden="false" customHeight="false" outlineLevel="0" collapsed="false">
      <c r="B597" s="3"/>
    </row>
    <row r="598" customFormat="false" ht="15" hidden="false" customHeight="false" outlineLevel="0" collapsed="false">
      <c r="B598" s="3"/>
    </row>
    <row r="599" customFormat="false" ht="15" hidden="false" customHeight="false" outlineLevel="0" collapsed="false">
      <c r="B599" s="3"/>
    </row>
    <row r="600" customFormat="false" ht="15" hidden="false" customHeight="false" outlineLevel="0" collapsed="false">
      <c r="B600" s="3"/>
    </row>
    <row r="601" customFormat="false" ht="15" hidden="false" customHeight="false" outlineLevel="0" collapsed="false">
      <c r="B601" s="3"/>
    </row>
    <row r="602" customFormat="false" ht="15" hidden="false" customHeight="false" outlineLevel="0" collapsed="false">
      <c r="B602" s="3"/>
    </row>
    <row r="603" customFormat="false" ht="15" hidden="false" customHeight="false" outlineLevel="0" collapsed="false">
      <c r="B603" s="3"/>
    </row>
    <row r="604" customFormat="false" ht="15" hidden="false" customHeight="false" outlineLevel="0" collapsed="false">
      <c r="B604" s="3"/>
    </row>
    <row r="605" customFormat="false" ht="15" hidden="false" customHeight="false" outlineLevel="0" collapsed="false">
      <c r="B605" s="3"/>
    </row>
    <row r="606" customFormat="false" ht="15" hidden="false" customHeight="false" outlineLevel="0" collapsed="false">
      <c r="B606" s="3"/>
    </row>
    <row r="607" customFormat="false" ht="15" hidden="false" customHeight="false" outlineLevel="0" collapsed="false">
      <c r="B607" s="3"/>
    </row>
    <row r="608" customFormat="false" ht="15" hidden="false" customHeight="false" outlineLevel="0" collapsed="false">
      <c r="B608" s="3"/>
    </row>
    <row r="609" customFormat="false" ht="15" hidden="false" customHeight="false" outlineLevel="0" collapsed="false">
      <c r="B609" s="3"/>
    </row>
    <row r="610" customFormat="false" ht="15" hidden="false" customHeight="false" outlineLevel="0" collapsed="false">
      <c r="B610" s="3"/>
    </row>
    <row r="611" customFormat="false" ht="15" hidden="false" customHeight="false" outlineLevel="0" collapsed="false">
      <c r="B611" s="3"/>
    </row>
    <row r="612" customFormat="false" ht="15" hidden="false" customHeight="false" outlineLevel="0" collapsed="false">
      <c r="B612" s="3"/>
    </row>
    <row r="613" customFormat="false" ht="15" hidden="false" customHeight="false" outlineLevel="0" collapsed="false">
      <c r="B613" s="3"/>
    </row>
    <row r="614" customFormat="false" ht="15" hidden="false" customHeight="false" outlineLevel="0" collapsed="false">
      <c r="B614" s="3"/>
    </row>
    <row r="615" customFormat="false" ht="15" hidden="false" customHeight="false" outlineLevel="0" collapsed="false">
      <c r="B615" s="3"/>
    </row>
    <row r="616" customFormat="false" ht="15" hidden="false" customHeight="false" outlineLevel="0" collapsed="false">
      <c r="B616" s="3"/>
    </row>
    <row r="617" customFormat="false" ht="15" hidden="false" customHeight="false" outlineLevel="0" collapsed="false">
      <c r="B617" s="3"/>
    </row>
    <row r="618" customFormat="false" ht="15" hidden="false" customHeight="false" outlineLevel="0" collapsed="false">
      <c r="B618" s="3"/>
    </row>
    <row r="619" customFormat="false" ht="15" hidden="false" customHeight="false" outlineLevel="0" collapsed="false">
      <c r="B619" s="3"/>
    </row>
    <row r="620" customFormat="false" ht="15" hidden="false" customHeight="false" outlineLevel="0" collapsed="false">
      <c r="B620" s="3"/>
    </row>
    <row r="621" customFormat="false" ht="15" hidden="false" customHeight="false" outlineLevel="0" collapsed="false">
      <c r="B621" s="3"/>
    </row>
    <row r="622" customFormat="false" ht="15" hidden="false" customHeight="false" outlineLevel="0" collapsed="false">
      <c r="B622" s="3"/>
    </row>
    <row r="623" customFormat="false" ht="15" hidden="false" customHeight="false" outlineLevel="0" collapsed="false">
      <c r="B623" s="3"/>
    </row>
    <row r="624" customFormat="false" ht="15" hidden="false" customHeight="false" outlineLevel="0" collapsed="false">
      <c r="B624" s="3"/>
    </row>
    <row r="625" customFormat="false" ht="15" hidden="false" customHeight="false" outlineLevel="0" collapsed="false">
      <c r="B625" s="3"/>
    </row>
    <row r="626" customFormat="false" ht="15" hidden="false" customHeight="false" outlineLevel="0" collapsed="false">
      <c r="B626" s="3"/>
    </row>
    <row r="627" customFormat="false" ht="15" hidden="false" customHeight="false" outlineLevel="0" collapsed="false">
      <c r="B627" s="3"/>
    </row>
    <row r="628" customFormat="false" ht="15" hidden="false" customHeight="false" outlineLevel="0" collapsed="false">
      <c r="B628" s="3"/>
    </row>
    <row r="629" customFormat="false" ht="15" hidden="false" customHeight="false" outlineLevel="0" collapsed="false">
      <c r="B629" s="3"/>
    </row>
    <row r="630" customFormat="false" ht="15" hidden="false" customHeight="false" outlineLevel="0" collapsed="false">
      <c r="B630" s="3"/>
    </row>
    <row r="631" customFormat="false" ht="15" hidden="false" customHeight="false" outlineLevel="0" collapsed="false">
      <c r="B631" s="3"/>
    </row>
    <row r="632" customFormat="false" ht="15" hidden="false" customHeight="false" outlineLevel="0" collapsed="false">
      <c r="B632" s="3"/>
    </row>
    <row r="633" customFormat="false" ht="15" hidden="false" customHeight="false" outlineLevel="0" collapsed="false">
      <c r="B633" s="3"/>
    </row>
    <row r="634" customFormat="false" ht="15" hidden="false" customHeight="false" outlineLevel="0" collapsed="false">
      <c r="B634" s="3"/>
    </row>
    <row r="635" customFormat="false" ht="15" hidden="false" customHeight="false" outlineLevel="0" collapsed="false">
      <c r="B635" s="3"/>
    </row>
    <row r="636" customFormat="false" ht="15" hidden="false" customHeight="false" outlineLevel="0" collapsed="false">
      <c r="B636" s="3"/>
    </row>
    <row r="637" customFormat="false" ht="15" hidden="false" customHeight="false" outlineLevel="0" collapsed="false">
      <c r="B637" s="3"/>
    </row>
    <row r="638" customFormat="false" ht="15" hidden="false" customHeight="false" outlineLevel="0" collapsed="false">
      <c r="B638" s="3"/>
    </row>
    <row r="639" customFormat="false" ht="15" hidden="false" customHeight="false" outlineLevel="0" collapsed="false">
      <c r="B639" s="3"/>
    </row>
    <row r="640" customFormat="false" ht="15" hidden="false" customHeight="false" outlineLevel="0" collapsed="false">
      <c r="B640" s="3"/>
    </row>
    <row r="641" customFormat="false" ht="15" hidden="false" customHeight="false" outlineLevel="0" collapsed="false">
      <c r="B641" s="3"/>
    </row>
    <row r="642" customFormat="false" ht="15" hidden="false" customHeight="false" outlineLevel="0" collapsed="false">
      <c r="B642" s="3"/>
    </row>
    <row r="643" customFormat="false" ht="15" hidden="false" customHeight="false" outlineLevel="0" collapsed="false">
      <c r="B643" s="3"/>
    </row>
    <row r="644" customFormat="false" ht="15" hidden="false" customHeight="false" outlineLevel="0" collapsed="false">
      <c r="B644" s="3"/>
    </row>
    <row r="645" customFormat="false" ht="15" hidden="false" customHeight="false" outlineLevel="0" collapsed="false">
      <c r="B645" s="3"/>
    </row>
    <row r="646" customFormat="false" ht="15" hidden="false" customHeight="false" outlineLevel="0" collapsed="false">
      <c r="B646" s="3"/>
    </row>
    <row r="647" customFormat="false" ht="15" hidden="false" customHeight="false" outlineLevel="0" collapsed="false">
      <c r="B647" s="3"/>
    </row>
    <row r="648" customFormat="false" ht="15" hidden="false" customHeight="false" outlineLevel="0" collapsed="false">
      <c r="B648" s="3"/>
    </row>
    <row r="649" customFormat="false" ht="15" hidden="false" customHeight="false" outlineLevel="0" collapsed="false">
      <c r="B649" s="3"/>
    </row>
    <row r="650" customFormat="false" ht="15" hidden="false" customHeight="false" outlineLevel="0" collapsed="false">
      <c r="B650" s="3"/>
    </row>
    <row r="651" customFormat="false" ht="15" hidden="false" customHeight="false" outlineLevel="0" collapsed="false">
      <c r="B651" s="3"/>
    </row>
    <row r="652" customFormat="false" ht="15" hidden="false" customHeight="false" outlineLevel="0" collapsed="false">
      <c r="B652" s="3"/>
    </row>
    <row r="653" customFormat="false" ht="15" hidden="false" customHeight="false" outlineLevel="0" collapsed="false">
      <c r="B653" s="3"/>
    </row>
    <row r="654" customFormat="false" ht="15" hidden="false" customHeight="false" outlineLevel="0" collapsed="false">
      <c r="B654" s="3"/>
    </row>
    <row r="655" customFormat="false" ht="15" hidden="false" customHeight="false" outlineLevel="0" collapsed="false">
      <c r="B655" s="3"/>
    </row>
    <row r="656" customFormat="false" ht="15" hidden="false" customHeight="false" outlineLevel="0" collapsed="false">
      <c r="B656" s="3"/>
    </row>
    <row r="657" customFormat="false" ht="15" hidden="false" customHeight="false" outlineLevel="0" collapsed="false">
      <c r="B657" s="3"/>
    </row>
    <row r="658" customFormat="false" ht="15" hidden="false" customHeight="false" outlineLevel="0" collapsed="false">
      <c r="B658" s="3"/>
    </row>
    <row r="659" customFormat="false" ht="15" hidden="false" customHeight="false" outlineLevel="0" collapsed="false">
      <c r="B659" s="3"/>
    </row>
    <row r="660" customFormat="false" ht="15" hidden="false" customHeight="false" outlineLevel="0" collapsed="false">
      <c r="B660" s="3"/>
    </row>
    <row r="661" customFormat="false" ht="15" hidden="false" customHeight="false" outlineLevel="0" collapsed="false">
      <c r="B661" s="3"/>
    </row>
    <row r="662" customFormat="false" ht="15" hidden="false" customHeight="false" outlineLevel="0" collapsed="false">
      <c r="B662" s="3"/>
    </row>
    <row r="663" customFormat="false" ht="15" hidden="false" customHeight="false" outlineLevel="0" collapsed="false">
      <c r="B663" s="3"/>
    </row>
    <row r="664" customFormat="false" ht="15" hidden="false" customHeight="false" outlineLevel="0" collapsed="false">
      <c r="B664" s="3"/>
    </row>
    <row r="665" customFormat="false" ht="15" hidden="false" customHeight="false" outlineLevel="0" collapsed="false">
      <c r="B665" s="3"/>
    </row>
    <row r="666" customFormat="false" ht="15" hidden="false" customHeight="false" outlineLevel="0" collapsed="false">
      <c r="B666" s="3"/>
    </row>
    <row r="667" customFormat="false" ht="15" hidden="false" customHeight="false" outlineLevel="0" collapsed="false">
      <c r="B667" s="3"/>
    </row>
    <row r="668" customFormat="false" ht="15" hidden="false" customHeight="false" outlineLevel="0" collapsed="false">
      <c r="B668" s="3"/>
    </row>
    <row r="669" customFormat="false" ht="15" hidden="false" customHeight="false" outlineLevel="0" collapsed="false">
      <c r="B669" s="3"/>
    </row>
    <row r="670" customFormat="false" ht="15" hidden="false" customHeight="false" outlineLevel="0" collapsed="false">
      <c r="B670" s="3"/>
    </row>
    <row r="671" customFormat="false" ht="15" hidden="false" customHeight="false" outlineLevel="0" collapsed="false">
      <c r="B671" s="3"/>
    </row>
    <row r="672" customFormat="false" ht="15" hidden="false" customHeight="false" outlineLevel="0" collapsed="false">
      <c r="B672" s="3"/>
    </row>
    <row r="673" customFormat="false" ht="15" hidden="false" customHeight="false" outlineLevel="0" collapsed="false">
      <c r="B673" s="3"/>
    </row>
    <row r="674" customFormat="false" ht="15" hidden="false" customHeight="false" outlineLevel="0" collapsed="false">
      <c r="B674" s="3"/>
    </row>
    <row r="675" customFormat="false" ht="15" hidden="false" customHeight="false" outlineLevel="0" collapsed="false">
      <c r="B675" s="3"/>
    </row>
    <row r="676" customFormat="false" ht="15" hidden="false" customHeight="false" outlineLevel="0" collapsed="false">
      <c r="B676" s="3"/>
    </row>
    <row r="677" customFormat="false" ht="15" hidden="false" customHeight="false" outlineLevel="0" collapsed="false">
      <c r="B677" s="3"/>
    </row>
    <row r="678" customFormat="false" ht="15" hidden="false" customHeight="false" outlineLevel="0" collapsed="false">
      <c r="B678" s="3"/>
    </row>
    <row r="679" customFormat="false" ht="15" hidden="false" customHeight="false" outlineLevel="0" collapsed="false">
      <c r="B679" s="3"/>
    </row>
    <row r="680" customFormat="false" ht="15" hidden="false" customHeight="false" outlineLevel="0" collapsed="false">
      <c r="B680" s="3"/>
    </row>
    <row r="681" customFormat="false" ht="15" hidden="false" customHeight="false" outlineLevel="0" collapsed="false">
      <c r="B681" s="3"/>
    </row>
    <row r="682" customFormat="false" ht="15" hidden="false" customHeight="false" outlineLevel="0" collapsed="false">
      <c r="B682" s="3"/>
    </row>
    <row r="683" customFormat="false" ht="15" hidden="false" customHeight="false" outlineLevel="0" collapsed="false">
      <c r="B683" s="3"/>
    </row>
    <row r="684" customFormat="false" ht="15" hidden="false" customHeight="false" outlineLevel="0" collapsed="false">
      <c r="B684" s="3"/>
    </row>
    <row r="685" customFormat="false" ht="15" hidden="false" customHeight="false" outlineLevel="0" collapsed="false">
      <c r="B685" s="3"/>
    </row>
    <row r="686" customFormat="false" ht="15" hidden="false" customHeight="false" outlineLevel="0" collapsed="false">
      <c r="B686" s="3"/>
    </row>
    <row r="687" customFormat="false" ht="15" hidden="false" customHeight="false" outlineLevel="0" collapsed="false">
      <c r="B687" s="3"/>
    </row>
    <row r="688" customFormat="false" ht="15" hidden="false" customHeight="false" outlineLevel="0" collapsed="false">
      <c r="B688" s="3"/>
    </row>
    <row r="689" customFormat="false" ht="15" hidden="false" customHeight="false" outlineLevel="0" collapsed="false">
      <c r="B689" s="3"/>
    </row>
    <row r="690" customFormat="false" ht="15" hidden="false" customHeight="false" outlineLevel="0" collapsed="false">
      <c r="B690" s="3"/>
    </row>
    <row r="691" customFormat="false" ht="15" hidden="false" customHeight="false" outlineLevel="0" collapsed="false">
      <c r="B691" s="3"/>
    </row>
    <row r="692" customFormat="false" ht="15" hidden="false" customHeight="false" outlineLevel="0" collapsed="false">
      <c r="B692" s="3"/>
    </row>
    <row r="693" customFormat="false" ht="15" hidden="false" customHeight="false" outlineLevel="0" collapsed="false">
      <c r="B693" s="3"/>
    </row>
    <row r="694" customFormat="false" ht="15" hidden="false" customHeight="false" outlineLevel="0" collapsed="false">
      <c r="B694" s="3"/>
    </row>
    <row r="695" customFormat="false" ht="15" hidden="false" customHeight="false" outlineLevel="0" collapsed="false">
      <c r="B695" s="3"/>
    </row>
    <row r="696" customFormat="false" ht="15" hidden="false" customHeight="false" outlineLevel="0" collapsed="false">
      <c r="B696" s="3"/>
    </row>
    <row r="697" customFormat="false" ht="15" hidden="false" customHeight="false" outlineLevel="0" collapsed="false">
      <c r="B697" s="3"/>
    </row>
    <row r="698" customFormat="false" ht="15" hidden="false" customHeight="false" outlineLevel="0" collapsed="false">
      <c r="B698" s="3"/>
    </row>
    <row r="699" customFormat="false" ht="15" hidden="false" customHeight="false" outlineLevel="0" collapsed="false">
      <c r="B699" s="3"/>
    </row>
    <row r="700" customFormat="false" ht="15" hidden="false" customHeight="false" outlineLevel="0" collapsed="false">
      <c r="B700" s="3"/>
    </row>
    <row r="701" customFormat="false" ht="15" hidden="false" customHeight="false" outlineLevel="0" collapsed="false">
      <c r="B701" s="3"/>
    </row>
    <row r="702" customFormat="false" ht="15" hidden="false" customHeight="false" outlineLevel="0" collapsed="false">
      <c r="B702" s="3"/>
    </row>
    <row r="703" customFormat="false" ht="15" hidden="false" customHeight="false" outlineLevel="0" collapsed="false">
      <c r="B703" s="3"/>
    </row>
    <row r="704" customFormat="false" ht="15" hidden="false" customHeight="false" outlineLevel="0" collapsed="false">
      <c r="B704" s="3"/>
    </row>
    <row r="705" customFormat="false" ht="15" hidden="false" customHeight="false" outlineLevel="0" collapsed="false">
      <c r="B705" s="3"/>
    </row>
    <row r="706" customFormat="false" ht="15" hidden="false" customHeight="false" outlineLevel="0" collapsed="false">
      <c r="B706" s="3"/>
    </row>
    <row r="707" customFormat="false" ht="15" hidden="false" customHeight="false" outlineLevel="0" collapsed="false">
      <c r="B707" s="3"/>
    </row>
    <row r="708" customFormat="false" ht="15" hidden="false" customHeight="false" outlineLevel="0" collapsed="false">
      <c r="B708" s="3"/>
    </row>
    <row r="709" customFormat="false" ht="15" hidden="false" customHeight="false" outlineLevel="0" collapsed="false">
      <c r="B709" s="3"/>
    </row>
    <row r="710" customFormat="false" ht="15" hidden="false" customHeight="false" outlineLevel="0" collapsed="false">
      <c r="B710" s="3"/>
    </row>
    <row r="711" customFormat="false" ht="15" hidden="false" customHeight="false" outlineLevel="0" collapsed="false">
      <c r="B711" s="3"/>
    </row>
    <row r="712" customFormat="false" ht="15" hidden="false" customHeight="false" outlineLevel="0" collapsed="false">
      <c r="B712" s="3"/>
    </row>
    <row r="713" customFormat="false" ht="15" hidden="false" customHeight="false" outlineLevel="0" collapsed="false">
      <c r="B713" s="3"/>
    </row>
    <row r="714" customFormat="false" ht="15" hidden="false" customHeight="false" outlineLevel="0" collapsed="false">
      <c r="B714" s="3"/>
    </row>
    <row r="715" customFormat="false" ht="15" hidden="false" customHeight="false" outlineLevel="0" collapsed="false">
      <c r="B715" s="3"/>
    </row>
    <row r="716" customFormat="false" ht="15" hidden="false" customHeight="false" outlineLevel="0" collapsed="false">
      <c r="B716" s="3"/>
    </row>
    <row r="717" customFormat="false" ht="15" hidden="false" customHeight="false" outlineLevel="0" collapsed="false">
      <c r="B717" s="3"/>
    </row>
    <row r="718" customFormat="false" ht="15" hidden="false" customHeight="false" outlineLevel="0" collapsed="false">
      <c r="B718" s="3"/>
    </row>
    <row r="719" customFormat="false" ht="15" hidden="false" customHeight="false" outlineLevel="0" collapsed="false">
      <c r="B719" s="3"/>
    </row>
    <row r="720" customFormat="false" ht="15" hidden="false" customHeight="false" outlineLevel="0" collapsed="false">
      <c r="B720" s="3"/>
    </row>
    <row r="721" customFormat="false" ht="15" hidden="false" customHeight="false" outlineLevel="0" collapsed="false">
      <c r="B721" s="3"/>
    </row>
    <row r="722" customFormat="false" ht="15" hidden="false" customHeight="false" outlineLevel="0" collapsed="false">
      <c r="B722" s="3"/>
    </row>
    <row r="723" customFormat="false" ht="15" hidden="false" customHeight="false" outlineLevel="0" collapsed="false">
      <c r="B723" s="3"/>
    </row>
    <row r="724" customFormat="false" ht="15" hidden="false" customHeight="false" outlineLevel="0" collapsed="false">
      <c r="B724" s="3"/>
    </row>
    <row r="725" customFormat="false" ht="15" hidden="false" customHeight="false" outlineLevel="0" collapsed="false">
      <c r="B725" s="3"/>
    </row>
    <row r="726" customFormat="false" ht="15" hidden="false" customHeight="false" outlineLevel="0" collapsed="false">
      <c r="B726" s="3"/>
    </row>
    <row r="727" customFormat="false" ht="15" hidden="false" customHeight="false" outlineLevel="0" collapsed="false">
      <c r="B727" s="3"/>
    </row>
    <row r="728" customFormat="false" ht="15" hidden="false" customHeight="false" outlineLevel="0" collapsed="false">
      <c r="B728" s="3"/>
    </row>
    <row r="729" customFormat="false" ht="15" hidden="false" customHeight="false" outlineLevel="0" collapsed="false">
      <c r="B729" s="3"/>
    </row>
    <row r="730" customFormat="false" ht="15" hidden="false" customHeight="false" outlineLevel="0" collapsed="false">
      <c r="B730" s="3"/>
    </row>
    <row r="731" customFormat="false" ht="15" hidden="false" customHeight="false" outlineLevel="0" collapsed="false">
      <c r="B731" s="3"/>
    </row>
    <row r="732" customFormat="false" ht="15" hidden="false" customHeight="false" outlineLevel="0" collapsed="false">
      <c r="B732" s="3"/>
    </row>
    <row r="733" customFormat="false" ht="15" hidden="false" customHeight="false" outlineLevel="0" collapsed="false">
      <c r="B733" s="3"/>
    </row>
    <row r="734" customFormat="false" ht="15" hidden="false" customHeight="false" outlineLevel="0" collapsed="false">
      <c r="B734" s="3"/>
    </row>
    <row r="735" customFormat="false" ht="15" hidden="false" customHeight="false" outlineLevel="0" collapsed="false">
      <c r="B735" s="3"/>
    </row>
    <row r="736" customFormat="false" ht="15" hidden="false" customHeight="false" outlineLevel="0" collapsed="false">
      <c r="B736" s="3"/>
    </row>
    <row r="737" customFormat="false" ht="15" hidden="false" customHeight="false" outlineLevel="0" collapsed="false">
      <c r="B737" s="3"/>
    </row>
    <row r="738" customFormat="false" ht="15" hidden="false" customHeight="false" outlineLevel="0" collapsed="false">
      <c r="B738" s="3"/>
    </row>
    <row r="739" customFormat="false" ht="15" hidden="false" customHeight="false" outlineLevel="0" collapsed="false">
      <c r="B739" s="3"/>
    </row>
    <row r="740" customFormat="false" ht="15" hidden="false" customHeight="false" outlineLevel="0" collapsed="false">
      <c r="B740" s="3"/>
    </row>
    <row r="741" customFormat="false" ht="15" hidden="false" customHeight="false" outlineLevel="0" collapsed="false">
      <c r="B741" s="3"/>
    </row>
    <row r="742" customFormat="false" ht="15" hidden="false" customHeight="false" outlineLevel="0" collapsed="false">
      <c r="B742" s="3"/>
    </row>
    <row r="743" customFormat="false" ht="15" hidden="false" customHeight="false" outlineLevel="0" collapsed="false">
      <c r="B743" s="3"/>
    </row>
    <row r="744" customFormat="false" ht="15" hidden="false" customHeight="false" outlineLevel="0" collapsed="false">
      <c r="B744" s="3"/>
    </row>
    <row r="745" customFormat="false" ht="15" hidden="false" customHeight="false" outlineLevel="0" collapsed="false">
      <c r="B745" s="3"/>
    </row>
    <row r="746" customFormat="false" ht="15" hidden="false" customHeight="false" outlineLevel="0" collapsed="false">
      <c r="B746" s="3"/>
    </row>
    <row r="747" customFormat="false" ht="15" hidden="false" customHeight="false" outlineLevel="0" collapsed="false">
      <c r="B747" s="3"/>
    </row>
    <row r="748" customFormat="false" ht="15" hidden="false" customHeight="false" outlineLevel="0" collapsed="false">
      <c r="B748" s="3"/>
    </row>
    <row r="749" customFormat="false" ht="15" hidden="false" customHeight="false" outlineLevel="0" collapsed="false">
      <c r="B749" s="3"/>
    </row>
    <row r="750" customFormat="false" ht="15" hidden="false" customHeight="false" outlineLevel="0" collapsed="false">
      <c r="B750" s="3"/>
    </row>
    <row r="751" customFormat="false" ht="15" hidden="false" customHeight="false" outlineLevel="0" collapsed="false">
      <c r="B751" s="3"/>
    </row>
    <row r="752" customFormat="false" ht="15" hidden="false" customHeight="false" outlineLevel="0" collapsed="false">
      <c r="B752" s="3"/>
    </row>
    <row r="753" customFormat="false" ht="15" hidden="false" customHeight="false" outlineLevel="0" collapsed="false">
      <c r="B753" s="3"/>
    </row>
    <row r="754" customFormat="false" ht="15" hidden="false" customHeight="false" outlineLevel="0" collapsed="false">
      <c r="B754" s="3"/>
    </row>
    <row r="755" customFormat="false" ht="15" hidden="false" customHeight="false" outlineLevel="0" collapsed="false">
      <c r="B755" s="3"/>
    </row>
    <row r="756" customFormat="false" ht="15" hidden="false" customHeight="false" outlineLevel="0" collapsed="false">
      <c r="B756" s="3"/>
    </row>
    <row r="757" customFormat="false" ht="15" hidden="false" customHeight="false" outlineLevel="0" collapsed="false">
      <c r="B757" s="3"/>
    </row>
    <row r="758" customFormat="false" ht="15" hidden="false" customHeight="false" outlineLevel="0" collapsed="false">
      <c r="B758" s="3"/>
    </row>
    <row r="759" customFormat="false" ht="15" hidden="false" customHeight="false" outlineLevel="0" collapsed="false">
      <c r="B759" s="3"/>
    </row>
    <row r="760" customFormat="false" ht="15" hidden="false" customHeight="false" outlineLevel="0" collapsed="false">
      <c r="B760" s="3"/>
    </row>
    <row r="761" customFormat="false" ht="15" hidden="false" customHeight="false" outlineLevel="0" collapsed="false">
      <c r="B761" s="3"/>
    </row>
    <row r="762" customFormat="false" ht="15" hidden="false" customHeight="false" outlineLevel="0" collapsed="false">
      <c r="B762" s="3"/>
    </row>
    <row r="763" customFormat="false" ht="15" hidden="false" customHeight="false" outlineLevel="0" collapsed="false">
      <c r="B763" s="3"/>
    </row>
    <row r="764" customFormat="false" ht="15" hidden="false" customHeight="false" outlineLevel="0" collapsed="false">
      <c r="B764" s="3"/>
    </row>
    <row r="765" customFormat="false" ht="15" hidden="false" customHeight="false" outlineLevel="0" collapsed="false">
      <c r="B765" s="3"/>
    </row>
    <row r="766" customFormat="false" ht="15" hidden="false" customHeight="false" outlineLevel="0" collapsed="false">
      <c r="B766" s="3"/>
    </row>
    <row r="767" customFormat="false" ht="15" hidden="false" customHeight="false" outlineLevel="0" collapsed="false">
      <c r="B767" s="3"/>
    </row>
    <row r="768" customFormat="false" ht="15" hidden="false" customHeight="false" outlineLevel="0" collapsed="false">
      <c r="B768" s="3"/>
    </row>
    <row r="769" customFormat="false" ht="15" hidden="false" customHeight="false" outlineLevel="0" collapsed="false">
      <c r="B769" s="3"/>
    </row>
    <row r="770" customFormat="false" ht="15" hidden="false" customHeight="false" outlineLevel="0" collapsed="false">
      <c r="B770" s="3"/>
    </row>
    <row r="771" customFormat="false" ht="15" hidden="false" customHeight="false" outlineLevel="0" collapsed="false">
      <c r="B771" s="3"/>
    </row>
    <row r="772" customFormat="false" ht="15" hidden="false" customHeight="false" outlineLevel="0" collapsed="false">
      <c r="B772" s="3"/>
    </row>
    <row r="773" customFormat="false" ht="15" hidden="false" customHeight="false" outlineLevel="0" collapsed="false">
      <c r="B773" s="3"/>
    </row>
    <row r="774" customFormat="false" ht="15" hidden="false" customHeight="false" outlineLevel="0" collapsed="false">
      <c r="B774" s="3"/>
    </row>
    <row r="775" customFormat="false" ht="15" hidden="false" customHeight="false" outlineLevel="0" collapsed="false">
      <c r="B775" s="3"/>
    </row>
    <row r="776" customFormat="false" ht="15" hidden="false" customHeight="false" outlineLevel="0" collapsed="false">
      <c r="B776" s="3"/>
    </row>
    <row r="777" customFormat="false" ht="15" hidden="false" customHeight="false" outlineLevel="0" collapsed="false">
      <c r="B777" s="3"/>
    </row>
    <row r="778" customFormat="false" ht="15" hidden="false" customHeight="false" outlineLevel="0" collapsed="false">
      <c r="B778" s="3"/>
    </row>
    <row r="779" customFormat="false" ht="15" hidden="false" customHeight="false" outlineLevel="0" collapsed="false">
      <c r="B779" s="3"/>
    </row>
    <row r="780" customFormat="false" ht="15" hidden="false" customHeight="false" outlineLevel="0" collapsed="false">
      <c r="B780" s="3"/>
    </row>
    <row r="781" customFormat="false" ht="15" hidden="false" customHeight="false" outlineLevel="0" collapsed="false">
      <c r="B781" s="3"/>
    </row>
    <row r="782" customFormat="false" ht="15" hidden="false" customHeight="false" outlineLevel="0" collapsed="false">
      <c r="B782" s="3"/>
    </row>
    <row r="783" customFormat="false" ht="15" hidden="false" customHeight="false" outlineLevel="0" collapsed="false">
      <c r="B783" s="3"/>
    </row>
    <row r="784" customFormat="false" ht="15" hidden="false" customHeight="false" outlineLevel="0" collapsed="false">
      <c r="B784" s="3"/>
    </row>
    <row r="785" customFormat="false" ht="15" hidden="false" customHeight="false" outlineLevel="0" collapsed="false">
      <c r="B785" s="3"/>
    </row>
    <row r="786" customFormat="false" ht="15" hidden="false" customHeight="false" outlineLevel="0" collapsed="false">
      <c r="B786" s="3"/>
    </row>
    <row r="787" customFormat="false" ht="15" hidden="false" customHeight="false" outlineLevel="0" collapsed="false">
      <c r="B787" s="3"/>
    </row>
    <row r="788" customFormat="false" ht="15" hidden="false" customHeight="false" outlineLevel="0" collapsed="false">
      <c r="B788" s="3"/>
    </row>
    <row r="789" customFormat="false" ht="15" hidden="false" customHeight="false" outlineLevel="0" collapsed="false">
      <c r="B789" s="3"/>
    </row>
    <row r="790" customFormat="false" ht="15" hidden="false" customHeight="false" outlineLevel="0" collapsed="false">
      <c r="B790" s="3"/>
    </row>
    <row r="791" customFormat="false" ht="15" hidden="false" customHeight="false" outlineLevel="0" collapsed="false">
      <c r="B791" s="3"/>
    </row>
    <row r="792" customFormat="false" ht="15" hidden="false" customHeight="false" outlineLevel="0" collapsed="false">
      <c r="B792" s="3"/>
    </row>
    <row r="793" customFormat="false" ht="15" hidden="false" customHeight="false" outlineLevel="0" collapsed="false">
      <c r="B793" s="3"/>
    </row>
    <row r="794" customFormat="false" ht="15" hidden="false" customHeight="false" outlineLevel="0" collapsed="false">
      <c r="B794" s="3"/>
    </row>
    <row r="795" customFormat="false" ht="15" hidden="false" customHeight="false" outlineLevel="0" collapsed="false">
      <c r="B795" s="3"/>
    </row>
    <row r="796" customFormat="false" ht="15" hidden="false" customHeight="false" outlineLevel="0" collapsed="false">
      <c r="B796" s="3"/>
    </row>
    <row r="797" customFormat="false" ht="15" hidden="false" customHeight="false" outlineLevel="0" collapsed="false">
      <c r="B797" s="3"/>
    </row>
    <row r="798" customFormat="false" ht="15" hidden="false" customHeight="false" outlineLevel="0" collapsed="false">
      <c r="B798" s="3"/>
    </row>
    <row r="799" customFormat="false" ht="15" hidden="false" customHeight="false" outlineLevel="0" collapsed="false">
      <c r="B799" s="3"/>
    </row>
    <row r="800" customFormat="false" ht="15" hidden="false" customHeight="false" outlineLevel="0" collapsed="false">
      <c r="B800" s="3"/>
    </row>
    <row r="801" customFormat="false" ht="15" hidden="false" customHeight="false" outlineLevel="0" collapsed="false">
      <c r="B801" s="3"/>
    </row>
    <row r="802" customFormat="false" ht="15" hidden="false" customHeight="false" outlineLevel="0" collapsed="false">
      <c r="B802" s="3"/>
    </row>
    <row r="803" customFormat="false" ht="15" hidden="false" customHeight="false" outlineLevel="0" collapsed="false">
      <c r="B803" s="3"/>
    </row>
    <row r="804" customFormat="false" ht="15" hidden="false" customHeight="false" outlineLevel="0" collapsed="false">
      <c r="B804" s="3"/>
    </row>
    <row r="805" customFormat="false" ht="15" hidden="false" customHeight="false" outlineLevel="0" collapsed="false">
      <c r="B805" s="3"/>
    </row>
    <row r="806" customFormat="false" ht="15" hidden="false" customHeight="false" outlineLevel="0" collapsed="false">
      <c r="B806" s="3"/>
    </row>
    <row r="807" customFormat="false" ht="15" hidden="false" customHeight="false" outlineLevel="0" collapsed="false">
      <c r="B807" s="3"/>
    </row>
    <row r="808" customFormat="false" ht="15" hidden="false" customHeight="false" outlineLevel="0" collapsed="false">
      <c r="B808" s="3"/>
    </row>
    <row r="809" customFormat="false" ht="15" hidden="false" customHeight="false" outlineLevel="0" collapsed="false">
      <c r="B809" s="3"/>
    </row>
    <row r="810" customFormat="false" ht="15" hidden="false" customHeight="false" outlineLevel="0" collapsed="false">
      <c r="B810" s="3"/>
    </row>
    <row r="811" customFormat="false" ht="15" hidden="false" customHeight="false" outlineLevel="0" collapsed="false">
      <c r="B811" s="3"/>
    </row>
    <row r="812" customFormat="false" ht="15" hidden="false" customHeight="false" outlineLevel="0" collapsed="false">
      <c r="B812" s="3"/>
    </row>
    <row r="813" customFormat="false" ht="15" hidden="false" customHeight="false" outlineLevel="0" collapsed="false">
      <c r="B813" s="3"/>
    </row>
    <row r="814" customFormat="false" ht="15" hidden="false" customHeight="false" outlineLevel="0" collapsed="false">
      <c r="B814" s="3"/>
    </row>
    <row r="815" customFormat="false" ht="15" hidden="false" customHeight="false" outlineLevel="0" collapsed="false">
      <c r="B815" s="3"/>
    </row>
    <row r="816" customFormat="false" ht="15" hidden="false" customHeight="false" outlineLevel="0" collapsed="false">
      <c r="B816" s="3"/>
    </row>
    <row r="817" customFormat="false" ht="15" hidden="false" customHeight="false" outlineLevel="0" collapsed="false">
      <c r="B817" s="3"/>
    </row>
    <row r="818" customFormat="false" ht="15" hidden="false" customHeight="false" outlineLevel="0" collapsed="false">
      <c r="B818" s="3"/>
    </row>
    <row r="819" customFormat="false" ht="15" hidden="false" customHeight="false" outlineLevel="0" collapsed="false">
      <c r="B819" s="3"/>
    </row>
    <row r="820" customFormat="false" ht="15" hidden="false" customHeight="false" outlineLevel="0" collapsed="false">
      <c r="B820" s="3"/>
    </row>
    <row r="821" customFormat="false" ht="15" hidden="false" customHeight="false" outlineLevel="0" collapsed="false">
      <c r="B821" s="3"/>
    </row>
    <row r="822" customFormat="false" ht="15" hidden="false" customHeight="false" outlineLevel="0" collapsed="false">
      <c r="B822" s="3"/>
    </row>
    <row r="823" customFormat="false" ht="15" hidden="false" customHeight="false" outlineLevel="0" collapsed="false">
      <c r="B823" s="3"/>
    </row>
    <row r="824" customFormat="false" ht="15" hidden="false" customHeight="false" outlineLevel="0" collapsed="false">
      <c r="B824" s="3"/>
    </row>
    <row r="825" customFormat="false" ht="15" hidden="false" customHeight="false" outlineLevel="0" collapsed="false">
      <c r="B825" s="3"/>
    </row>
    <row r="826" customFormat="false" ht="15" hidden="false" customHeight="false" outlineLevel="0" collapsed="false">
      <c r="B826" s="3"/>
    </row>
    <row r="827" customFormat="false" ht="15" hidden="false" customHeight="false" outlineLevel="0" collapsed="false">
      <c r="B827" s="3"/>
    </row>
    <row r="828" customFormat="false" ht="15" hidden="false" customHeight="false" outlineLevel="0" collapsed="false">
      <c r="B828" s="3"/>
    </row>
    <row r="829" customFormat="false" ht="15" hidden="false" customHeight="false" outlineLevel="0" collapsed="false">
      <c r="B829" s="3"/>
    </row>
    <row r="830" customFormat="false" ht="15" hidden="false" customHeight="false" outlineLevel="0" collapsed="false">
      <c r="B830" s="3"/>
    </row>
    <row r="831" customFormat="false" ht="15" hidden="false" customHeight="false" outlineLevel="0" collapsed="false">
      <c r="B831" s="3"/>
    </row>
    <row r="832" customFormat="false" ht="15" hidden="false" customHeight="false" outlineLevel="0" collapsed="false">
      <c r="B832" s="3"/>
    </row>
    <row r="833" customFormat="false" ht="15" hidden="false" customHeight="false" outlineLevel="0" collapsed="false">
      <c r="B833" s="3"/>
    </row>
    <row r="834" customFormat="false" ht="15" hidden="false" customHeight="false" outlineLevel="0" collapsed="false">
      <c r="B834" s="3"/>
    </row>
    <row r="835" customFormat="false" ht="15" hidden="false" customHeight="false" outlineLevel="0" collapsed="false">
      <c r="B835" s="3"/>
    </row>
    <row r="836" customFormat="false" ht="15" hidden="false" customHeight="false" outlineLevel="0" collapsed="false">
      <c r="B836" s="3"/>
    </row>
    <row r="837" customFormat="false" ht="15" hidden="false" customHeight="false" outlineLevel="0" collapsed="false">
      <c r="B837" s="3"/>
    </row>
    <row r="838" customFormat="false" ht="15" hidden="false" customHeight="false" outlineLevel="0" collapsed="false">
      <c r="B838" s="3"/>
    </row>
    <row r="839" customFormat="false" ht="15" hidden="false" customHeight="false" outlineLevel="0" collapsed="false">
      <c r="B839" s="3"/>
    </row>
    <row r="840" customFormat="false" ht="15" hidden="false" customHeight="false" outlineLevel="0" collapsed="false">
      <c r="B840" s="3"/>
    </row>
    <row r="841" customFormat="false" ht="15" hidden="false" customHeight="false" outlineLevel="0" collapsed="false">
      <c r="B841" s="3"/>
    </row>
    <row r="842" customFormat="false" ht="15" hidden="false" customHeight="false" outlineLevel="0" collapsed="false">
      <c r="B842" s="3"/>
    </row>
    <row r="843" customFormat="false" ht="15" hidden="false" customHeight="false" outlineLevel="0" collapsed="false">
      <c r="B843" s="3"/>
    </row>
    <row r="844" customFormat="false" ht="15" hidden="false" customHeight="false" outlineLevel="0" collapsed="false">
      <c r="B844" s="3"/>
    </row>
    <row r="845" customFormat="false" ht="15" hidden="false" customHeight="false" outlineLevel="0" collapsed="false">
      <c r="B845" s="3"/>
    </row>
    <row r="846" customFormat="false" ht="15" hidden="false" customHeight="false" outlineLevel="0" collapsed="false">
      <c r="B846" s="3"/>
    </row>
    <row r="847" customFormat="false" ht="15" hidden="false" customHeight="false" outlineLevel="0" collapsed="false">
      <c r="B847" s="3"/>
    </row>
    <row r="848" customFormat="false" ht="15" hidden="false" customHeight="false" outlineLevel="0" collapsed="false">
      <c r="B848" s="3"/>
    </row>
    <row r="849" customFormat="false" ht="15" hidden="false" customHeight="false" outlineLevel="0" collapsed="false">
      <c r="B849" s="3"/>
    </row>
    <row r="850" customFormat="false" ht="15" hidden="false" customHeight="false" outlineLevel="0" collapsed="false">
      <c r="B850" s="3"/>
    </row>
    <row r="851" customFormat="false" ht="15" hidden="false" customHeight="false" outlineLevel="0" collapsed="false">
      <c r="B851" s="3"/>
    </row>
    <row r="852" customFormat="false" ht="15" hidden="false" customHeight="false" outlineLevel="0" collapsed="false">
      <c r="B852" s="3"/>
    </row>
    <row r="853" customFormat="false" ht="15" hidden="false" customHeight="false" outlineLevel="0" collapsed="false">
      <c r="B853" s="3"/>
    </row>
    <row r="854" customFormat="false" ht="15" hidden="false" customHeight="false" outlineLevel="0" collapsed="false">
      <c r="B854" s="3"/>
    </row>
    <row r="855" customFormat="false" ht="15" hidden="false" customHeight="false" outlineLevel="0" collapsed="false">
      <c r="B855" s="3"/>
    </row>
    <row r="856" customFormat="false" ht="15" hidden="false" customHeight="false" outlineLevel="0" collapsed="false">
      <c r="B856" s="3"/>
    </row>
    <row r="857" customFormat="false" ht="15" hidden="false" customHeight="false" outlineLevel="0" collapsed="false">
      <c r="B857" s="3"/>
    </row>
    <row r="858" customFormat="false" ht="15" hidden="false" customHeight="false" outlineLevel="0" collapsed="false">
      <c r="B858" s="3"/>
    </row>
    <row r="859" customFormat="false" ht="15" hidden="false" customHeight="false" outlineLevel="0" collapsed="false">
      <c r="B859" s="3"/>
    </row>
    <row r="860" customFormat="false" ht="15" hidden="false" customHeight="false" outlineLevel="0" collapsed="false">
      <c r="B860" s="3"/>
    </row>
    <row r="861" customFormat="false" ht="15" hidden="false" customHeight="false" outlineLevel="0" collapsed="false">
      <c r="B861" s="3"/>
    </row>
    <row r="862" customFormat="false" ht="15" hidden="false" customHeight="false" outlineLevel="0" collapsed="false">
      <c r="B862" s="3"/>
    </row>
    <row r="863" customFormat="false" ht="15" hidden="false" customHeight="false" outlineLevel="0" collapsed="false">
      <c r="B863" s="3"/>
    </row>
    <row r="864" customFormat="false" ht="15" hidden="false" customHeight="false" outlineLevel="0" collapsed="false">
      <c r="B864" s="3"/>
    </row>
    <row r="865" customFormat="false" ht="15" hidden="false" customHeight="false" outlineLevel="0" collapsed="false">
      <c r="B865" s="3"/>
    </row>
    <row r="866" customFormat="false" ht="15" hidden="false" customHeight="false" outlineLevel="0" collapsed="false">
      <c r="B866" s="3"/>
    </row>
    <row r="867" customFormat="false" ht="15" hidden="false" customHeight="false" outlineLevel="0" collapsed="false">
      <c r="B867" s="3"/>
    </row>
    <row r="868" customFormat="false" ht="15" hidden="false" customHeight="false" outlineLevel="0" collapsed="false">
      <c r="B868" s="3"/>
    </row>
    <row r="869" customFormat="false" ht="15" hidden="false" customHeight="false" outlineLevel="0" collapsed="false">
      <c r="B869" s="3"/>
    </row>
    <row r="870" customFormat="false" ht="15" hidden="false" customHeight="false" outlineLevel="0" collapsed="false">
      <c r="B870" s="3"/>
    </row>
    <row r="871" customFormat="false" ht="15" hidden="false" customHeight="false" outlineLevel="0" collapsed="false">
      <c r="B871" s="3"/>
    </row>
    <row r="872" customFormat="false" ht="15" hidden="false" customHeight="false" outlineLevel="0" collapsed="false">
      <c r="B872" s="3"/>
    </row>
    <row r="873" customFormat="false" ht="15" hidden="false" customHeight="false" outlineLevel="0" collapsed="false">
      <c r="B873" s="3"/>
    </row>
    <row r="874" customFormat="false" ht="15" hidden="false" customHeight="false" outlineLevel="0" collapsed="false">
      <c r="B874" s="3"/>
    </row>
    <row r="875" customFormat="false" ht="15" hidden="false" customHeight="false" outlineLevel="0" collapsed="false">
      <c r="B875" s="3"/>
    </row>
    <row r="876" customFormat="false" ht="15" hidden="false" customHeight="false" outlineLevel="0" collapsed="false">
      <c r="B876" s="3"/>
    </row>
    <row r="877" customFormat="false" ht="15" hidden="false" customHeight="false" outlineLevel="0" collapsed="false">
      <c r="B877" s="3"/>
    </row>
    <row r="878" customFormat="false" ht="15" hidden="false" customHeight="false" outlineLevel="0" collapsed="false">
      <c r="B878" s="3"/>
    </row>
    <row r="879" customFormat="false" ht="15" hidden="false" customHeight="false" outlineLevel="0" collapsed="false">
      <c r="B879" s="3"/>
    </row>
    <row r="880" customFormat="false" ht="15" hidden="false" customHeight="false" outlineLevel="0" collapsed="false">
      <c r="B880" s="3"/>
    </row>
    <row r="881" customFormat="false" ht="15" hidden="false" customHeight="false" outlineLevel="0" collapsed="false">
      <c r="B881" s="3"/>
    </row>
    <row r="882" customFormat="false" ht="15" hidden="false" customHeight="false" outlineLevel="0" collapsed="false">
      <c r="B882" s="3"/>
    </row>
    <row r="883" customFormat="false" ht="15" hidden="false" customHeight="false" outlineLevel="0" collapsed="false">
      <c r="B883" s="3"/>
    </row>
    <row r="884" customFormat="false" ht="15" hidden="false" customHeight="false" outlineLevel="0" collapsed="false">
      <c r="B884" s="3"/>
    </row>
    <row r="885" customFormat="false" ht="15" hidden="false" customHeight="false" outlineLevel="0" collapsed="false">
      <c r="B885" s="3"/>
    </row>
    <row r="886" customFormat="false" ht="15" hidden="false" customHeight="false" outlineLevel="0" collapsed="false">
      <c r="B886" s="3"/>
    </row>
    <row r="887" customFormat="false" ht="15" hidden="false" customHeight="false" outlineLevel="0" collapsed="false">
      <c r="B887" s="3"/>
    </row>
    <row r="888" customFormat="false" ht="15" hidden="false" customHeight="false" outlineLevel="0" collapsed="false">
      <c r="B888" s="3"/>
    </row>
    <row r="889" customFormat="false" ht="15" hidden="false" customHeight="false" outlineLevel="0" collapsed="false">
      <c r="B889" s="3"/>
    </row>
    <row r="890" customFormat="false" ht="15" hidden="false" customHeight="false" outlineLevel="0" collapsed="false">
      <c r="B890" s="3"/>
    </row>
    <row r="891" customFormat="false" ht="15" hidden="false" customHeight="false" outlineLevel="0" collapsed="false">
      <c r="B891" s="3"/>
    </row>
    <row r="892" customFormat="false" ht="15" hidden="false" customHeight="false" outlineLevel="0" collapsed="false">
      <c r="B892" s="3"/>
    </row>
    <row r="893" customFormat="false" ht="15" hidden="false" customHeight="false" outlineLevel="0" collapsed="false">
      <c r="B893" s="3"/>
    </row>
    <row r="894" customFormat="false" ht="15" hidden="false" customHeight="false" outlineLevel="0" collapsed="false">
      <c r="B894" s="3"/>
    </row>
    <row r="895" customFormat="false" ht="15" hidden="false" customHeight="false" outlineLevel="0" collapsed="false">
      <c r="B895" s="3"/>
    </row>
    <row r="896" customFormat="false" ht="15" hidden="false" customHeight="false" outlineLevel="0" collapsed="false">
      <c r="B896" s="3"/>
    </row>
    <row r="897" customFormat="false" ht="15" hidden="false" customHeight="false" outlineLevel="0" collapsed="false">
      <c r="B897" s="3"/>
    </row>
    <row r="898" customFormat="false" ht="15" hidden="false" customHeight="false" outlineLevel="0" collapsed="false">
      <c r="B898" s="3"/>
    </row>
    <row r="899" customFormat="false" ht="15" hidden="false" customHeight="false" outlineLevel="0" collapsed="false">
      <c r="B899" s="3"/>
    </row>
    <row r="900" customFormat="false" ht="15" hidden="false" customHeight="false" outlineLevel="0" collapsed="false">
      <c r="B900" s="3"/>
    </row>
    <row r="901" customFormat="false" ht="15" hidden="false" customHeight="false" outlineLevel="0" collapsed="false">
      <c r="B901" s="3"/>
    </row>
    <row r="902" customFormat="false" ht="15" hidden="false" customHeight="false" outlineLevel="0" collapsed="false">
      <c r="B902" s="3"/>
    </row>
    <row r="903" customFormat="false" ht="15" hidden="false" customHeight="false" outlineLevel="0" collapsed="false">
      <c r="B903" s="3"/>
    </row>
    <row r="904" customFormat="false" ht="15" hidden="false" customHeight="false" outlineLevel="0" collapsed="false">
      <c r="B904" s="3"/>
    </row>
    <row r="905" customFormat="false" ht="15" hidden="false" customHeight="false" outlineLevel="0" collapsed="false">
      <c r="B905" s="3"/>
    </row>
    <row r="906" customFormat="false" ht="15" hidden="false" customHeight="false" outlineLevel="0" collapsed="false">
      <c r="B906" s="3"/>
    </row>
    <row r="907" customFormat="false" ht="15" hidden="false" customHeight="false" outlineLevel="0" collapsed="false">
      <c r="B907" s="3"/>
    </row>
    <row r="908" customFormat="false" ht="15" hidden="false" customHeight="false" outlineLevel="0" collapsed="false">
      <c r="B908" s="3"/>
    </row>
    <row r="909" customFormat="false" ht="15" hidden="false" customHeight="false" outlineLevel="0" collapsed="false">
      <c r="B909" s="3"/>
    </row>
    <row r="910" customFormat="false" ht="15" hidden="false" customHeight="false" outlineLevel="0" collapsed="false">
      <c r="B910" s="3"/>
    </row>
    <row r="911" customFormat="false" ht="15" hidden="false" customHeight="false" outlineLevel="0" collapsed="false">
      <c r="B911" s="3"/>
    </row>
    <row r="912" customFormat="false" ht="15" hidden="false" customHeight="false" outlineLevel="0" collapsed="false">
      <c r="B912" s="3"/>
    </row>
    <row r="913" customFormat="false" ht="15" hidden="false" customHeight="false" outlineLevel="0" collapsed="false">
      <c r="B913" s="3"/>
    </row>
    <row r="914" customFormat="false" ht="15" hidden="false" customHeight="false" outlineLevel="0" collapsed="false">
      <c r="B914" s="3"/>
    </row>
    <row r="915" customFormat="false" ht="15" hidden="false" customHeight="false" outlineLevel="0" collapsed="false">
      <c r="B915" s="3"/>
    </row>
    <row r="916" customFormat="false" ht="15" hidden="false" customHeight="false" outlineLevel="0" collapsed="false">
      <c r="B916" s="3"/>
    </row>
    <row r="917" customFormat="false" ht="15" hidden="false" customHeight="false" outlineLevel="0" collapsed="false">
      <c r="B917" s="3"/>
    </row>
    <row r="918" customFormat="false" ht="15" hidden="false" customHeight="false" outlineLevel="0" collapsed="false">
      <c r="B918" s="3"/>
    </row>
    <row r="919" customFormat="false" ht="15" hidden="false" customHeight="false" outlineLevel="0" collapsed="false">
      <c r="B919" s="3"/>
    </row>
    <row r="920" customFormat="false" ht="15" hidden="false" customHeight="false" outlineLevel="0" collapsed="false">
      <c r="B920" s="3"/>
    </row>
    <row r="921" customFormat="false" ht="15" hidden="false" customHeight="false" outlineLevel="0" collapsed="false">
      <c r="B921" s="3"/>
    </row>
    <row r="922" customFormat="false" ht="15" hidden="false" customHeight="false" outlineLevel="0" collapsed="false">
      <c r="B922" s="3"/>
    </row>
    <row r="923" customFormat="false" ht="15" hidden="false" customHeight="false" outlineLevel="0" collapsed="false">
      <c r="B923" s="3"/>
    </row>
    <row r="924" customFormat="false" ht="15" hidden="false" customHeight="false" outlineLevel="0" collapsed="false">
      <c r="B924" s="3"/>
    </row>
    <row r="925" customFormat="false" ht="15" hidden="false" customHeight="false" outlineLevel="0" collapsed="false">
      <c r="B925" s="3"/>
    </row>
    <row r="926" customFormat="false" ht="15" hidden="false" customHeight="false" outlineLevel="0" collapsed="false">
      <c r="B926" s="3"/>
    </row>
    <row r="927" customFormat="false" ht="15" hidden="false" customHeight="false" outlineLevel="0" collapsed="false">
      <c r="B927" s="3"/>
    </row>
    <row r="928" customFormat="false" ht="15" hidden="false" customHeight="false" outlineLevel="0" collapsed="false">
      <c r="B928" s="3"/>
    </row>
    <row r="929" customFormat="false" ht="15" hidden="false" customHeight="false" outlineLevel="0" collapsed="false">
      <c r="B929" s="3"/>
    </row>
    <row r="930" customFormat="false" ht="15" hidden="false" customHeight="false" outlineLevel="0" collapsed="false">
      <c r="B930" s="3"/>
    </row>
    <row r="931" customFormat="false" ht="15" hidden="false" customHeight="false" outlineLevel="0" collapsed="false">
      <c r="B931" s="3"/>
    </row>
    <row r="932" customFormat="false" ht="15" hidden="false" customHeight="false" outlineLevel="0" collapsed="false">
      <c r="B932" s="3"/>
    </row>
    <row r="933" customFormat="false" ht="15" hidden="false" customHeight="false" outlineLevel="0" collapsed="false">
      <c r="B933" s="3"/>
    </row>
    <row r="934" customFormat="false" ht="15" hidden="false" customHeight="false" outlineLevel="0" collapsed="false">
      <c r="B934" s="3"/>
    </row>
    <row r="935" customFormat="false" ht="15" hidden="false" customHeight="false" outlineLevel="0" collapsed="false">
      <c r="B935" s="3"/>
    </row>
    <row r="936" customFormat="false" ht="15" hidden="false" customHeight="false" outlineLevel="0" collapsed="false">
      <c r="B936" s="3"/>
    </row>
    <row r="937" customFormat="false" ht="15" hidden="false" customHeight="false" outlineLevel="0" collapsed="false">
      <c r="B937" s="3"/>
    </row>
    <row r="938" customFormat="false" ht="15" hidden="false" customHeight="false" outlineLevel="0" collapsed="false">
      <c r="B938" s="3"/>
    </row>
    <row r="939" customFormat="false" ht="15" hidden="false" customHeight="false" outlineLevel="0" collapsed="false">
      <c r="B939" s="3"/>
    </row>
    <row r="940" customFormat="false" ht="15" hidden="false" customHeight="false" outlineLevel="0" collapsed="false">
      <c r="B940" s="3"/>
    </row>
    <row r="941" customFormat="false" ht="15" hidden="false" customHeight="false" outlineLevel="0" collapsed="false">
      <c r="B941" s="3"/>
    </row>
    <row r="942" customFormat="false" ht="15" hidden="false" customHeight="false" outlineLevel="0" collapsed="false">
      <c r="B942" s="3"/>
    </row>
    <row r="943" customFormat="false" ht="15" hidden="false" customHeight="false" outlineLevel="0" collapsed="false">
      <c r="B943" s="3"/>
    </row>
    <row r="944" customFormat="false" ht="15" hidden="false" customHeight="false" outlineLevel="0" collapsed="false">
      <c r="B944" s="3"/>
    </row>
    <row r="945" customFormat="false" ht="15" hidden="false" customHeight="false" outlineLevel="0" collapsed="false">
      <c r="B945" s="3"/>
    </row>
    <row r="946" customFormat="false" ht="15" hidden="false" customHeight="false" outlineLevel="0" collapsed="false">
      <c r="B946" s="3"/>
    </row>
    <row r="947" customFormat="false" ht="15" hidden="false" customHeight="false" outlineLevel="0" collapsed="false">
      <c r="B947" s="3"/>
    </row>
    <row r="948" customFormat="false" ht="15" hidden="false" customHeight="false" outlineLevel="0" collapsed="false">
      <c r="B948" s="3"/>
    </row>
    <row r="949" customFormat="false" ht="15" hidden="false" customHeight="false" outlineLevel="0" collapsed="false">
      <c r="B949" s="3"/>
    </row>
    <row r="950" customFormat="false" ht="15" hidden="false" customHeight="false" outlineLevel="0" collapsed="false">
      <c r="B950" s="3"/>
    </row>
    <row r="951" customFormat="false" ht="15" hidden="false" customHeight="false" outlineLevel="0" collapsed="false">
      <c r="B951" s="3"/>
    </row>
    <row r="952" customFormat="false" ht="15" hidden="false" customHeight="false" outlineLevel="0" collapsed="false">
      <c r="B952" s="3"/>
    </row>
    <row r="953" customFormat="false" ht="15" hidden="false" customHeight="false" outlineLevel="0" collapsed="false">
      <c r="B953" s="3"/>
    </row>
    <row r="954" customFormat="false" ht="15" hidden="false" customHeight="false" outlineLevel="0" collapsed="false">
      <c r="B954" s="3"/>
    </row>
    <row r="955" customFormat="false" ht="15" hidden="false" customHeight="false" outlineLevel="0" collapsed="false">
      <c r="B955" s="3"/>
    </row>
    <row r="956" customFormat="false" ht="15" hidden="false" customHeight="false" outlineLevel="0" collapsed="false">
      <c r="B956" s="3"/>
    </row>
    <row r="957" customFormat="false" ht="15" hidden="false" customHeight="false" outlineLevel="0" collapsed="false">
      <c r="B957" s="3"/>
    </row>
    <row r="958" customFormat="false" ht="15" hidden="false" customHeight="false" outlineLevel="0" collapsed="false">
      <c r="B958" s="3"/>
    </row>
    <row r="959" customFormat="false" ht="15" hidden="false" customHeight="false" outlineLevel="0" collapsed="false">
      <c r="B959" s="3"/>
    </row>
    <row r="960" customFormat="false" ht="15" hidden="false" customHeight="false" outlineLevel="0" collapsed="false">
      <c r="B960" s="3"/>
    </row>
    <row r="961" customFormat="false" ht="15" hidden="false" customHeight="false" outlineLevel="0" collapsed="false">
      <c r="B961" s="3"/>
    </row>
    <row r="962" customFormat="false" ht="15" hidden="false" customHeight="false" outlineLevel="0" collapsed="false">
      <c r="B962" s="3"/>
    </row>
    <row r="963" customFormat="false" ht="15" hidden="false" customHeight="false" outlineLevel="0" collapsed="false">
      <c r="B963" s="3"/>
    </row>
    <row r="964" customFormat="false" ht="15" hidden="false" customHeight="false" outlineLevel="0" collapsed="false">
      <c r="B964" s="3"/>
    </row>
    <row r="965" customFormat="false" ht="15" hidden="false" customHeight="false" outlineLevel="0" collapsed="false">
      <c r="B965" s="3"/>
    </row>
    <row r="966" customFormat="false" ht="15" hidden="false" customHeight="false" outlineLevel="0" collapsed="false">
      <c r="B966" s="3"/>
    </row>
    <row r="967" customFormat="false" ht="15" hidden="false" customHeight="false" outlineLevel="0" collapsed="false">
      <c r="B967" s="3"/>
    </row>
    <row r="968" customFormat="false" ht="15" hidden="false" customHeight="false" outlineLevel="0" collapsed="false">
      <c r="B968" s="3"/>
    </row>
    <row r="969" customFormat="false" ht="15" hidden="false" customHeight="false" outlineLevel="0" collapsed="false">
      <c r="B969" s="3"/>
    </row>
    <row r="970" customFormat="false" ht="15" hidden="false" customHeight="false" outlineLevel="0" collapsed="false">
      <c r="B970" s="3"/>
    </row>
    <row r="971" customFormat="false" ht="15" hidden="false" customHeight="false" outlineLevel="0" collapsed="false">
      <c r="B971" s="3"/>
    </row>
    <row r="972" customFormat="false" ht="15" hidden="false" customHeight="false" outlineLevel="0" collapsed="false">
      <c r="B972" s="3"/>
    </row>
    <row r="973" customFormat="false" ht="15" hidden="false" customHeight="false" outlineLevel="0" collapsed="false">
      <c r="B973" s="3"/>
    </row>
    <row r="974" customFormat="false" ht="15" hidden="false" customHeight="false" outlineLevel="0" collapsed="false">
      <c r="B974" s="3"/>
    </row>
    <row r="975" customFormat="false" ht="15" hidden="false" customHeight="false" outlineLevel="0" collapsed="false">
      <c r="B975" s="3"/>
    </row>
    <row r="976" customFormat="false" ht="15" hidden="false" customHeight="false" outlineLevel="0" collapsed="false">
      <c r="B976" s="3"/>
    </row>
    <row r="977" customFormat="false" ht="15" hidden="false" customHeight="false" outlineLevel="0" collapsed="false">
      <c r="B977" s="3"/>
    </row>
    <row r="978" customFormat="false" ht="15" hidden="false" customHeight="false" outlineLevel="0" collapsed="false">
      <c r="B978" s="3"/>
    </row>
    <row r="979" customFormat="false" ht="15" hidden="false" customHeight="false" outlineLevel="0" collapsed="false">
      <c r="B979" s="3"/>
    </row>
    <row r="980" customFormat="false" ht="15" hidden="false" customHeight="false" outlineLevel="0" collapsed="false">
      <c r="B980" s="3"/>
    </row>
    <row r="981" customFormat="false" ht="15" hidden="false" customHeight="false" outlineLevel="0" collapsed="false">
      <c r="B981" s="3"/>
    </row>
    <row r="982" customFormat="false" ht="15" hidden="false" customHeight="false" outlineLevel="0" collapsed="false">
      <c r="B982" s="3"/>
    </row>
    <row r="983" customFormat="false" ht="15" hidden="false" customHeight="false" outlineLevel="0" collapsed="false">
      <c r="B983" s="3"/>
    </row>
    <row r="984" customFormat="false" ht="15" hidden="false" customHeight="false" outlineLevel="0" collapsed="false">
      <c r="B984" s="3"/>
    </row>
    <row r="985" customFormat="false" ht="15" hidden="false" customHeight="false" outlineLevel="0" collapsed="false">
      <c r="B985" s="3"/>
    </row>
    <row r="986" customFormat="false" ht="15" hidden="false" customHeight="false" outlineLevel="0" collapsed="false">
      <c r="B986" s="3"/>
    </row>
    <row r="987" customFormat="false" ht="15" hidden="false" customHeight="false" outlineLevel="0" collapsed="false">
      <c r="B987" s="3"/>
    </row>
    <row r="988" customFormat="false" ht="15" hidden="false" customHeight="false" outlineLevel="0" collapsed="false">
      <c r="B988" s="3"/>
    </row>
    <row r="989" customFormat="false" ht="15" hidden="false" customHeight="false" outlineLevel="0" collapsed="false">
      <c r="B989" s="3"/>
    </row>
    <row r="990" customFormat="false" ht="15" hidden="false" customHeight="false" outlineLevel="0" collapsed="false">
      <c r="B990" s="3"/>
    </row>
    <row r="991" customFormat="false" ht="15" hidden="false" customHeight="false" outlineLevel="0" collapsed="false">
      <c r="B991" s="3"/>
    </row>
    <row r="992" customFormat="false" ht="15" hidden="false" customHeight="false" outlineLevel="0" collapsed="false">
      <c r="B992" s="3"/>
    </row>
    <row r="993" customFormat="false" ht="15" hidden="false" customHeight="false" outlineLevel="0" collapsed="false">
      <c r="B993" s="3"/>
    </row>
    <row r="994" customFormat="false" ht="15" hidden="false" customHeight="false" outlineLevel="0" collapsed="false">
      <c r="B994" s="3"/>
    </row>
    <row r="995" customFormat="false" ht="15" hidden="false" customHeight="false" outlineLevel="0" collapsed="false">
      <c r="B995" s="3"/>
    </row>
    <row r="996" customFormat="false" ht="15" hidden="false" customHeight="false" outlineLevel="0" collapsed="false">
      <c r="B996" s="3"/>
    </row>
    <row r="997" customFormat="false" ht="15" hidden="false" customHeight="false" outlineLevel="0" collapsed="false">
      <c r="B997" s="3"/>
    </row>
    <row r="998" customFormat="false" ht="15" hidden="false" customHeight="false" outlineLevel="0" collapsed="false">
      <c r="B998" s="3"/>
    </row>
    <row r="999" customFormat="false" ht="15" hidden="false" customHeight="false" outlineLevel="0" collapsed="false">
      <c r="B999" s="3"/>
    </row>
    <row r="1000" customFormat="false" ht="15" hidden="false" customHeight="false" outlineLevel="0" collapsed="false">
      <c r="B1000" s="3"/>
    </row>
    <row r="1001" customFormat="false" ht="15" hidden="false" customHeight="false" outlineLevel="0" collapsed="false">
      <c r="B1001" s="3"/>
    </row>
    <row r="1002" customFormat="false" ht="15" hidden="false" customHeight="false" outlineLevel="0" collapsed="false">
      <c r="B1002" s="3"/>
    </row>
    <row r="1003" customFormat="false" ht="15" hidden="false" customHeight="false" outlineLevel="0" collapsed="false">
      <c r="B1003" s="3"/>
    </row>
    <row r="1004" customFormat="false" ht="15" hidden="false" customHeight="false" outlineLevel="0" collapsed="false">
      <c r="B1004" s="3"/>
    </row>
    <row r="1005" customFormat="false" ht="15" hidden="false" customHeight="false" outlineLevel="0" collapsed="false">
      <c r="B1005" s="3"/>
    </row>
    <row r="1006" customFormat="false" ht="15" hidden="false" customHeight="false" outlineLevel="0" collapsed="false">
      <c r="B1006" s="3"/>
    </row>
    <row r="1007" customFormat="false" ht="15" hidden="false" customHeight="false" outlineLevel="0" collapsed="false">
      <c r="B1007" s="3"/>
    </row>
    <row r="1008" customFormat="false" ht="15" hidden="false" customHeight="false" outlineLevel="0" collapsed="false">
      <c r="B1008" s="3"/>
    </row>
    <row r="1009" customFormat="false" ht="15" hidden="false" customHeight="false" outlineLevel="0" collapsed="false">
      <c r="B1009" s="3"/>
    </row>
    <row r="1010" customFormat="false" ht="15" hidden="false" customHeight="false" outlineLevel="0" collapsed="false">
      <c r="B1010" s="3"/>
    </row>
    <row r="1011" customFormat="false" ht="15" hidden="false" customHeight="false" outlineLevel="0" collapsed="false">
      <c r="B1011" s="3"/>
    </row>
    <row r="1012" customFormat="false" ht="15" hidden="false" customHeight="false" outlineLevel="0" collapsed="false">
      <c r="B1012" s="3"/>
    </row>
    <row r="1013" customFormat="false" ht="15" hidden="false" customHeight="false" outlineLevel="0" collapsed="false">
      <c r="B1013" s="3"/>
    </row>
    <row r="1014" customFormat="false" ht="15" hidden="false" customHeight="false" outlineLevel="0" collapsed="false">
      <c r="B1014" s="3"/>
    </row>
    <row r="1015" customFormat="false" ht="15" hidden="false" customHeight="false" outlineLevel="0" collapsed="false">
      <c r="B1015" s="3"/>
    </row>
    <row r="1016" customFormat="false" ht="15" hidden="false" customHeight="false" outlineLevel="0" collapsed="false">
      <c r="B1016" s="3"/>
    </row>
    <row r="1017" customFormat="false" ht="15" hidden="false" customHeight="false" outlineLevel="0" collapsed="false">
      <c r="B1017" s="3"/>
    </row>
    <row r="1018" customFormat="false" ht="15" hidden="false" customHeight="false" outlineLevel="0" collapsed="false">
      <c r="B1018" s="3"/>
    </row>
    <row r="1019" customFormat="false" ht="15" hidden="false" customHeight="false" outlineLevel="0" collapsed="false">
      <c r="B1019" s="3"/>
    </row>
    <row r="1020" customFormat="false" ht="15" hidden="false" customHeight="false" outlineLevel="0" collapsed="false">
      <c r="B1020" s="3"/>
    </row>
    <row r="1021" customFormat="false" ht="15" hidden="false" customHeight="false" outlineLevel="0" collapsed="false">
      <c r="B1021" s="3"/>
    </row>
    <row r="1022" customFormat="false" ht="15" hidden="false" customHeight="false" outlineLevel="0" collapsed="false">
      <c r="B1022" s="3"/>
    </row>
    <row r="1023" customFormat="false" ht="15" hidden="false" customHeight="false" outlineLevel="0" collapsed="false">
      <c r="B1023" s="3"/>
    </row>
    <row r="1024" customFormat="false" ht="15" hidden="false" customHeight="false" outlineLevel="0" collapsed="false">
      <c r="B1024" s="3"/>
    </row>
    <row r="1025" customFormat="false" ht="15" hidden="false" customHeight="false" outlineLevel="0" collapsed="false">
      <c r="B1025" s="3"/>
    </row>
    <row r="1026" customFormat="false" ht="15" hidden="false" customHeight="false" outlineLevel="0" collapsed="false">
      <c r="B1026" s="3"/>
    </row>
    <row r="1027" customFormat="false" ht="15" hidden="false" customHeight="false" outlineLevel="0" collapsed="false">
      <c r="B1027" s="3"/>
    </row>
    <row r="1028" customFormat="false" ht="15" hidden="false" customHeight="false" outlineLevel="0" collapsed="false">
      <c r="B1028" s="3"/>
    </row>
    <row r="1029" customFormat="false" ht="15" hidden="false" customHeight="false" outlineLevel="0" collapsed="false">
      <c r="B1029" s="3"/>
    </row>
    <row r="1030" customFormat="false" ht="15" hidden="false" customHeight="false" outlineLevel="0" collapsed="false">
      <c r="B1030" s="3"/>
    </row>
    <row r="1031" customFormat="false" ht="15" hidden="false" customHeight="false" outlineLevel="0" collapsed="false">
      <c r="B1031" s="3"/>
    </row>
    <row r="1032" customFormat="false" ht="15" hidden="false" customHeight="false" outlineLevel="0" collapsed="false">
      <c r="B1032" s="3"/>
    </row>
    <row r="1033" customFormat="false" ht="15" hidden="false" customHeight="false" outlineLevel="0" collapsed="false">
      <c r="B1033" s="3"/>
    </row>
    <row r="1034" customFormat="false" ht="15" hidden="false" customHeight="false" outlineLevel="0" collapsed="false">
      <c r="B1034" s="3"/>
    </row>
    <row r="1035" customFormat="false" ht="15" hidden="false" customHeight="false" outlineLevel="0" collapsed="false">
      <c r="B1035" s="3"/>
    </row>
    <row r="1036" customFormat="false" ht="15" hidden="false" customHeight="false" outlineLevel="0" collapsed="false">
      <c r="B1036" s="3"/>
    </row>
    <row r="1037" customFormat="false" ht="15" hidden="false" customHeight="false" outlineLevel="0" collapsed="false">
      <c r="B1037" s="3"/>
    </row>
    <row r="1038" customFormat="false" ht="15" hidden="false" customHeight="false" outlineLevel="0" collapsed="false">
      <c r="B1038" s="3"/>
    </row>
    <row r="1039" customFormat="false" ht="15" hidden="false" customHeight="false" outlineLevel="0" collapsed="false">
      <c r="B1039" s="3"/>
    </row>
    <row r="1040" customFormat="false" ht="15" hidden="false" customHeight="false" outlineLevel="0" collapsed="false">
      <c r="B1040" s="3"/>
    </row>
    <row r="1041" customFormat="false" ht="15" hidden="false" customHeight="false" outlineLevel="0" collapsed="false">
      <c r="B1041" s="3"/>
    </row>
    <row r="1042" customFormat="false" ht="15" hidden="false" customHeight="false" outlineLevel="0" collapsed="false">
      <c r="B1042" s="3"/>
    </row>
    <row r="1043" customFormat="false" ht="15" hidden="false" customHeight="false" outlineLevel="0" collapsed="false">
      <c r="B1043" s="3"/>
    </row>
    <row r="1044" customFormat="false" ht="15" hidden="false" customHeight="false" outlineLevel="0" collapsed="false">
      <c r="B1044" s="3"/>
    </row>
    <row r="1045" customFormat="false" ht="15" hidden="false" customHeight="false" outlineLevel="0" collapsed="false">
      <c r="B1045" s="3"/>
    </row>
    <row r="1046" customFormat="false" ht="15" hidden="false" customHeight="false" outlineLevel="0" collapsed="false">
      <c r="B1046" s="3"/>
    </row>
    <row r="1047" customFormat="false" ht="15" hidden="false" customHeight="false" outlineLevel="0" collapsed="false">
      <c r="B1047" s="3"/>
    </row>
    <row r="1048" customFormat="false" ht="15" hidden="false" customHeight="false" outlineLevel="0" collapsed="false">
      <c r="B1048" s="3"/>
    </row>
    <row r="1049" customFormat="false" ht="15" hidden="false" customHeight="false" outlineLevel="0" collapsed="false">
      <c r="B1049" s="3"/>
    </row>
    <row r="1050" customFormat="false" ht="15" hidden="false" customHeight="false" outlineLevel="0" collapsed="false">
      <c r="B1050" s="3"/>
    </row>
    <row r="1051" customFormat="false" ht="15" hidden="false" customHeight="false" outlineLevel="0" collapsed="false">
      <c r="B1051" s="3"/>
    </row>
    <row r="1052" customFormat="false" ht="15" hidden="false" customHeight="false" outlineLevel="0" collapsed="false">
      <c r="B1052" s="3"/>
    </row>
    <row r="1053" customFormat="false" ht="15" hidden="false" customHeight="false" outlineLevel="0" collapsed="false">
      <c r="B1053" s="3"/>
    </row>
    <row r="1054" customFormat="false" ht="15" hidden="false" customHeight="false" outlineLevel="0" collapsed="false">
      <c r="B1054" s="3"/>
    </row>
    <row r="1055" customFormat="false" ht="15" hidden="false" customHeight="false" outlineLevel="0" collapsed="false">
      <c r="B1055" s="3"/>
    </row>
    <row r="1056" customFormat="false" ht="15" hidden="false" customHeight="false" outlineLevel="0" collapsed="false">
      <c r="B1056" s="3"/>
    </row>
    <row r="1057" customFormat="false" ht="15" hidden="false" customHeight="false" outlineLevel="0" collapsed="false">
      <c r="B1057" s="3"/>
    </row>
    <row r="1058" customFormat="false" ht="15" hidden="false" customHeight="false" outlineLevel="0" collapsed="false">
      <c r="B1058" s="3"/>
    </row>
    <row r="1059" customFormat="false" ht="15" hidden="false" customHeight="false" outlineLevel="0" collapsed="false">
      <c r="B1059" s="3"/>
    </row>
    <row r="1060" customFormat="false" ht="15" hidden="false" customHeight="false" outlineLevel="0" collapsed="false">
      <c r="B1060" s="3"/>
    </row>
    <row r="1061" customFormat="false" ht="15" hidden="false" customHeight="false" outlineLevel="0" collapsed="false">
      <c r="B1061" s="3"/>
    </row>
    <row r="1062" customFormat="false" ht="15" hidden="false" customHeight="false" outlineLevel="0" collapsed="false">
      <c r="B1062" s="3"/>
    </row>
    <row r="1063" customFormat="false" ht="15" hidden="false" customHeight="false" outlineLevel="0" collapsed="false">
      <c r="B1063" s="3"/>
    </row>
    <row r="1064" customFormat="false" ht="15" hidden="false" customHeight="false" outlineLevel="0" collapsed="false">
      <c r="B1064" s="3"/>
    </row>
    <row r="1065" customFormat="false" ht="15" hidden="false" customHeight="false" outlineLevel="0" collapsed="false">
      <c r="B1065" s="3"/>
    </row>
    <row r="1066" customFormat="false" ht="15" hidden="false" customHeight="false" outlineLevel="0" collapsed="false">
      <c r="B1066" s="3"/>
    </row>
    <row r="1067" customFormat="false" ht="15" hidden="false" customHeight="false" outlineLevel="0" collapsed="false">
      <c r="B1067" s="3"/>
    </row>
    <row r="1068" customFormat="false" ht="15" hidden="false" customHeight="false" outlineLevel="0" collapsed="false">
      <c r="B1068" s="3"/>
    </row>
    <row r="1069" customFormat="false" ht="15" hidden="false" customHeight="false" outlineLevel="0" collapsed="false">
      <c r="B1069" s="3"/>
    </row>
    <row r="1070" customFormat="false" ht="15" hidden="false" customHeight="false" outlineLevel="0" collapsed="false">
      <c r="B1070" s="3"/>
    </row>
    <row r="1071" customFormat="false" ht="15" hidden="false" customHeight="false" outlineLevel="0" collapsed="false">
      <c r="B1071" s="3"/>
    </row>
    <row r="1072" customFormat="false" ht="15" hidden="false" customHeight="false" outlineLevel="0" collapsed="false">
      <c r="B1072" s="3"/>
    </row>
    <row r="1073" customFormat="false" ht="15" hidden="false" customHeight="false" outlineLevel="0" collapsed="false">
      <c r="B1073" s="3"/>
    </row>
    <row r="1074" customFormat="false" ht="15" hidden="false" customHeight="false" outlineLevel="0" collapsed="false">
      <c r="B1074" s="3"/>
    </row>
    <row r="1075" customFormat="false" ht="15" hidden="false" customHeight="false" outlineLevel="0" collapsed="false">
      <c r="B1075" s="3"/>
    </row>
    <row r="1076" customFormat="false" ht="15" hidden="false" customHeight="false" outlineLevel="0" collapsed="false">
      <c r="B1076" s="3"/>
    </row>
    <row r="1077" customFormat="false" ht="15" hidden="false" customHeight="false" outlineLevel="0" collapsed="false">
      <c r="B1077" s="3"/>
    </row>
    <row r="1078" customFormat="false" ht="15" hidden="false" customHeight="false" outlineLevel="0" collapsed="false">
      <c r="B1078" s="3"/>
    </row>
    <row r="1079" customFormat="false" ht="15" hidden="false" customHeight="false" outlineLevel="0" collapsed="false">
      <c r="B1079" s="3"/>
    </row>
    <row r="1080" customFormat="false" ht="15" hidden="false" customHeight="false" outlineLevel="0" collapsed="false">
      <c r="B1080" s="3"/>
    </row>
    <row r="1081" customFormat="false" ht="15" hidden="false" customHeight="false" outlineLevel="0" collapsed="false">
      <c r="B1081" s="3"/>
    </row>
    <row r="1082" customFormat="false" ht="15" hidden="false" customHeight="false" outlineLevel="0" collapsed="false">
      <c r="B1082" s="3"/>
    </row>
    <row r="1083" customFormat="false" ht="15" hidden="false" customHeight="false" outlineLevel="0" collapsed="false">
      <c r="B1083" s="3"/>
    </row>
    <row r="1084" customFormat="false" ht="15" hidden="false" customHeight="false" outlineLevel="0" collapsed="false">
      <c r="B1084" s="3"/>
    </row>
    <row r="1085" customFormat="false" ht="15" hidden="false" customHeight="false" outlineLevel="0" collapsed="false">
      <c r="B1085" s="3"/>
    </row>
    <row r="1086" customFormat="false" ht="15" hidden="false" customHeight="false" outlineLevel="0" collapsed="false">
      <c r="B1086" s="3"/>
    </row>
    <row r="1087" customFormat="false" ht="15" hidden="false" customHeight="false" outlineLevel="0" collapsed="false">
      <c r="B1087" s="3"/>
    </row>
    <row r="1088" customFormat="false" ht="15" hidden="false" customHeight="false" outlineLevel="0" collapsed="false">
      <c r="B1088" s="3"/>
    </row>
    <row r="1089" customFormat="false" ht="15" hidden="false" customHeight="false" outlineLevel="0" collapsed="false">
      <c r="B1089" s="3"/>
    </row>
    <row r="1090" customFormat="false" ht="15" hidden="false" customHeight="false" outlineLevel="0" collapsed="false">
      <c r="B1090" s="3"/>
    </row>
    <row r="1091" customFormat="false" ht="15" hidden="false" customHeight="false" outlineLevel="0" collapsed="false">
      <c r="B1091" s="3"/>
    </row>
    <row r="1092" customFormat="false" ht="15" hidden="false" customHeight="false" outlineLevel="0" collapsed="false">
      <c r="B1092" s="3"/>
    </row>
    <row r="1093" customFormat="false" ht="15" hidden="false" customHeight="false" outlineLevel="0" collapsed="false">
      <c r="B1093" s="3"/>
    </row>
    <row r="1094" customFormat="false" ht="15" hidden="false" customHeight="false" outlineLevel="0" collapsed="false">
      <c r="B1094" s="3"/>
    </row>
    <row r="1095" customFormat="false" ht="15" hidden="false" customHeight="false" outlineLevel="0" collapsed="false">
      <c r="B1095" s="3"/>
    </row>
    <row r="1096" customFormat="false" ht="15" hidden="false" customHeight="false" outlineLevel="0" collapsed="false">
      <c r="B1096" s="3"/>
    </row>
    <row r="1097" customFormat="false" ht="15" hidden="false" customHeight="false" outlineLevel="0" collapsed="false">
      <c r="B1097" s="3"/>
    </row>
    <row r="1098" customFormat="false" ht="15" hidden="false" customHeight="false" outlineLevel="0" collapsed="false">
      <c r="B1098" s="3"/>
    </row>
    <row r="1099" customFormat="false" ht="15" hidden="false" customHeight="false" outlineLevel="0" collapsed="false">
      <c r="B1099" s="3"/>
    </row>
    <row r="1100" customFormat="false" ht="15" hidden="false" customHeight="false" outlineLevel="0" collapsed="false">
      <c r="B1100" s="3"/>
    </row>
    <row r="1101" customFormat="false" ht="15" hidden="false" customHeight="false" outlineLevel="0" collapsed="false">
      <c r="B1101" s="3"/>
    </row>
    <row r="1102" customFormat="false" ht="15" hidden="false" customHeight="false" outlineLevel="0" collapsed="false">
      <c r="B1102" s="3"/>
    </row>
    <row r="1103" customFormat="false" ht="15" hidden="false" customHeight="false" outlineLevel="0" collapsed="false">
      <c r="B1103" s="3"/>
    </row>
    <row r="1104" customFormat="false" ht="15" hidden="false" customHeight="false" outlineLevel="0" collapsed="false">
      <c r="B1104" s="3"/>
    </row>
    <row r="1105" customFormat="false" ht="15" hidden="false" customHeight="false" outlineLevel="0" collapsed="false">
      <c r="B1105" s="3"/>
    </row>
    <row r="1106" customFormat="false" ht="15" hidden="false" customHeight="false" outlineLevel="0" collapsed="false">
      <c r="B1106" s="3"/>
    </row>
    <row r="1107" customFormat="false" ht="15" hidden="false" customHeight="false" outlineLevel="0" collapsed="false">
      <c r="B1107" s="3"/>
    </row>
    <row r="1108" customFormat="false" ht="15" hidden="false" customHeight="false" outlineLevel="0" collapsed="false">
      <c r="B1108" s="3"/>
    </row>
  </sheetData>
  <dataValidations count="1">
    <dataValidation allowBlank="true" errorStyle="stop" operator="between" showDropDown="false" showErrorMessage="true" showInputMessage="false" sqref="AE18:AE19 B1076:B1077" type="list">
      <formula1>#¿NOMBRE?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7"/>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9" activeCellId="0" sqref="B9"/>
    </sheetView>
  </sheetViews>
  <sheetFormatPr defaultColWidth="10.96875" defaultRowHeight="15" zeroHeight="false" outlineLevelRow="0" outlineLevelCol="0"/>
  <cols>
    <col collapsed="false" customWidth="true" hidden="false" outlineLevel="0" max="1" min="1" style="0" width="22.85"/>
    <col collapsed="false" customWidth="true" hidden="false" outlineLevel="0" max="2" min="2" style="0" width="128.56"/>
  </cols>
  <sheetData>
    <row r="2" customFormat="false" ht="15" hidden="false" customHeight="false" outlineLevel="0" collapsed="false">
      <c r="A2" s="4" t="s">
        <v>1062</v>
      </c>
    </row>
    <row r="3" customFormat="false" ht="15" hidden="false" customHeight="false" outlineLevel="0" collapsed="false">
      <c r="A3" s="0" t="s">
        <v>1063</v>
      </c>
    </row>
    <row r="4" customFormat="false" ht="15" hidden="false" customHeight="false" outlineLevel="0" collapsed="false">
      <c r="A4" s="0" t="s">
        <v>1064</v>
      </c>
    </row>
    <row r="8" customFormat="false" ht="25.5" hidden="false" customHeight="false" outlineLevel="0" collapsed="false">
      <c r="A8" s="4" t="s">
        <v>1063</v>
      </c>
      <c r="B8" s="4" t="s">
        <v>1065</v>
      </c>
    </row>
    <row r="9" customFormat="false" ht="15" hidden="false" customHeight="false" outlineLevel="0" collapsed="false">
      <c r="A9" s="0" t="s">
        <v>1066</v>
      </c>
      <c r="B9" s="0" t="s">
        <v>1067</v>
      </c>
    </row>
    <row r="10" customFormat="false" ht="15" hidden="false" customHeight="false" outlineLevel="0" collapsed="false">
      <c r="A10" s="0" t="s">
        <v>1068</v>
      </c>
      <c r="B10" s="0" t="s">
        <v>1069</v>
      </c>
    </row>
    <row r="11" customFormat="false" ht="15" hidden="false" customHeight="false" outlineLevel="0" collapsed="false">
      <c r="A11" s="0" t="s">
        <v>1070</v>
      </c>
      <c r="B11" s="0" t="s">
        <v>1071</v>
      </c>
    </row>
    <row r="12" customFormat="false" ht="15" hidden="false" customHeight="false" outlineLevel="0" collapsed="false">
      <c r="A12" s="0" t="s">
        <v>1072</v>
      </c>
      <c r="B12" s="0" t="s">
        <v>1073</v>
      </c>
    </row>
    <row r="13" customFormat="false" ht="15" hidden="false" customHeight="false" outlineLevel="0" collapsed="false">
      <c r="A13" s="0" t="s">
        <v>1074</v>
      </c>
      <c r="B13" s="0" t="s">
        <v>1075</v>
      </c>
    </row>
    <row r="14" customFormat="false" ht="15" hidden="false" customHeight="false" outlineLevel="0" collapsed="false">
      <c r="A14" s="0" t="s">
        <v>1076</v>
      </c>
      <c r="B14" s="0" t="s">
        <v>1077</v>
      </c>
    </row>
    <row r="15" customFormat="false" ht="15" hidden="false" customHeight="false" outlineLevel="0" collapsed="false">
      <c r="B15" s="0" t="s">
        <v>1078</v>
      </c>
    </row>
    <row r="16" customFormat="false" ht="15" hidden="false" customHeight="false" outlineLevel="0" collapsed="false">
      <c r="B16" s="0" t="s">
        <v>1079</v>
      </c>
    </row>
    <row r="17" customFormat="false" ht="15" hidden="false" customHeight="false" outlineLevel="0" collapsed="false">
      <c r="B17" s="0" t="s">
        <v>1080</v>
      </c>
    </row>
    <row r="18" customFormat="false" ht="15" hidden="false" customHeight="false" outlineLevel="0" collapsed="false">
      <c r="B18" s="0" t="s">
        <v>1081</v>
      </c>
    </row>
    <row r="19" customFormat="false" ht="15" hidden="false" customHeight="false" outlineLevel="0" collapsed="false">
      <c r="B19" s="0" t="s">
        <v>1082</v>
      </c>
    </row>
    <row r="20" customFormat="false" ht="15" hidden="false" customHeight="false" outlineLevel="0" collapsed="false">
      <c r="B20" s="0" t="s">
        <v>1083</v>
      </c>
    </row>
    <row r="21" customFormat="false" ht="15" hidden="false" customHeight="false" outlineLevel="0" collapsed="false">
      <c r="B21" s="0" t="s">
        <v>1084</v>
      </c>
    </row>
    <row r="22" customFormat="false" ht="15" hidden="false" customHeight="false" outlineLevel="0" collapsed="false">
      <c r="B22" s="0" t="s">
        <v>1085</v>
      </c>
    </row>
    <row r="23" customFormat="false" ht="15" hidden="false" customHeight="false" outlineLevel="0" collapsed="false">
      <c r="B23" s="0" t="s">
        <v>1086</v>
      </c>
    </row>
    <row r="24" customFormat="false" ht="15" hidden="false" customHeight="false" outlineLevel="0" collapsed="false">
      <c r="B24" s="0" t="s">
        <v>1087</v>
      </c>
    </row>
    <row r="25" customFormat="false" ht="15" hidden="false" customHeight="false" outlineLevel="0" collapsed="false">
      <c r="B25" s="0" t="s">
        <v>1088</v>
      </c>
    </row>
    <row r="26" customFormat="false" ht="15" hidden="false" customHeight="false" outlineLevel="0" collapsed="false">
      <c r="B26" s="0" t="s">
        <v>1089</v>
      </c>
    </row>
    <row r="27" customFormat="false" ht="15" hidden="false" customHeight="false" outlineLevel="0" collapsed="false">
      <c r="B27" s="0" t="s">
        <v>1090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0.96875" defaultRowHeight="15" zeroHeight="false" outlineLevelRow="0" outlineLevelCol="0"/>
  <cols>
    <col collapsed="false" customWidth="true" hidden="false" outlineLevel="0" max="1" min="1" style="0" width="65.56"/>
    <col collapsed="false" customWidth="true" hidden="false" outlineLevel="0" max="2" min="2" style="0" width="70.13"/>
    <col collapsed="false" customWidth="true" hidden="false" outlineLevel="0" max="3" min="3" style="0" width="75.85"/>
    <col collapsed="false" customWidth="true" hidden="false" outlineLevel="0" max="4" min="4" style="0" width="66.56"/>
    <col collapsed="false" customWidth="true" hidden="false" outlineLevel="0" max="5" min="5" style="0" width="49.85"/>
    <col collapsed="false" customWidth="true" hidden="false" outlineLevel="0" max="6" min="6" style="0" width="65.42"/>
  </cols>
  <sheetData>
    <row r="1" s="6" customFormat="true" ht="15" hidden="false" customHeight="false" outlineLevel="0" collapsed="false">
      <c r="A1" s="4" t="s">
        <v>1066</v>
      </c>
      <c r="B1" s="4" t="s">
        <v>1068</v>
      </c>
      <c r="C1" s="5" t="s">
        <v>1070</v>
      </c>
      <c r="D1" s="4" t="s">
        <v>1072</v>
      </c>
      <c r="E1" s="4" t="s">
        <v>1074</v>
      </c>
      <c r="F1" s="4" t="s">
        <v>1091</v>
      </c>
    </row>
    <row r="2" customFormat="false" ht="21.95" hidden="false" customHeight="true" outlineLevel="0" collapsed="false">
      <c r="A2" s="7" t="s">
        <v>1092</v>
      </c>
      <c r="B2" s="8" t="s">
        <v>1093</v>
      </c>
      <c r="C2" s="9" t="s">
        <v>1094</v>
      </c>
      <c r="D2" s="10" t="s">
        <v>1095</v>
      </c>
      <c r="E2" s="7" t="s">
        <v>1096</v>
      </c>
      <c r="F2" s="7" t="s">
        <v>1097</v>
      </c>
    </row>
    <row r="3" customFormat="false" ht="23.25" hidden="false" customHeight="true" outlineLevel="0" collapsed="false">
      <c r="A3" s="7" t="s">
        <v>1098</v>
      </c>
      <c r="B3" s="8" t="s">
        <v>1099</v>
      </c>
      <c r="C3" s="9" t="s">
        <v>1100</v>
      </c>
      <c r="D3" s="10" t="s">
        <v>1101</v>
      </c>
      <c r="E3" s="7" t="s">
        <v>1102</v>
      </c>
      <c r="F3" s="7" t="s">
        <v>1103</v>
      </c>
    </row>
    <row r="4" customFormat="false" ht="27" hidden="false" customHeight="true" outlineLevel="0" collapsed="false">
      <c r="A4" s="7" t="s">
        <v>1104</v>
      </c>
      <c r="B4" s="8" t="s">
        <v>1105</v>
      </c>
      <c r="C4" s="9" t="s">
        <v>1106</v>
      </c>
      <c r="D4" s="10" t="s">
        <v>1107</v>
      </c>
      <c r="E4" s="7" t="s">
        <v>1108</v>
      </c>
      <c r="F4" s="7" t="s">
        <v>1109</v>
      </c>
    </row>
    <row r="5" customFormat="false" ht="31.5" hidden="false" customHeight="true" outlineLevel="0" collapsed="false">
      <c r="A5" s="7" t="s">
        <v>1110</v>
      </c>
      <c r="B5" s="8" t="s">
        <v>1111</v>
      </c>
      <c r="C5" s="7" t="s">
        <v>1112</v>
      </c>
      <c r="D5" s="10" t="s">
        <v>1113</v>
      </c>
      <c r="E5" s="7" t="s">
        <v>1114</v>
      </c>
      <c r="F5" s="7" t="s">
        <v>1115</v>
      </c>
    </row>
    <row r="6" customFormat="false" ht="24" hidden="false" customHeight="true" outlineLevel="0" collapsed="false">
      <c r="A6" s="7" t="s">
        <v>1116</v>
      </c>
      <c r="B6" s="8" t="s">
        <v>1117</v>
      </c>
      <c r="C6" s="7" t="s">
        <v>1118</v>
      </c>
      <c r="D6" s="10" t="s">
        <v>1119</v>
      </c>
      <c r="E6" s="7" t="s">
        <v>1120</v>
      </c>
      <c r="F6" s="7" t="s">
        <v>1121</v>
      </c>
    </row>
    <row r="7" customFormat="false" ht="22.5" hidden="false" customHeight="true" outlineLevel="0" collapsed="false">
      <c r="A7" s="7" t="s">
        <v>1122</v>
      </c>
      <c r="B7" s="8" t="s">
        <v>1123</v>
      </c>
      <c r="C7" s="9" t="s">
        <v>1124</v>
      </c>
      <c r="D7" s="10" t="s">
        <v>1125</v>
      </c>
      <c r="E7" s="7" t="s">
        <v>1126</v>
      </c>
      <c r="F7" s="7" t="s">
        <v>1127</v>
      </c>
    </row>
    <row r="8" customFormat="false" ht="28.5" hidden="false" customHeight="true" outlineLevel="0" collapsed="false">
      <c r="A8" s="7" t="s">
        <v>1128</v>
      </c>
      <c r="B8" s="8" t="s">
        <v>1129</v>
      </c>
      <c r="C8" s="9" t="s">
        <v>1130</v>
      </c>
      <c r="D8" s="10" t="s">
        <v>1131</v>
      </c>
      <c r="E8" s="7" t="s">
        <v>1132</v>
      </c>
      <c r="F8" s="7" t="s">
        <v>1133</v>
      </c>
    </row>
    <row r="9" customFormat="false" ht="22.5" hidden="false" customHeight="true" outlineLevel="0" collapsed="false">
      <c r="A9" s="7" t="s">
        <v>1134</v>
      </c>
      <c r="B9" s="8" t="s">
        <v>1135</v>
      </c>
      <c r="C9" s="9" t="s">
        <v>1136</v>
      </c>
      <c r="D9" s="10" t="s">
        <v>1137</v>
      </c>
    </row>
    <row r="10" customFormat="false" ht="21" hidden="false" customHeight="true" outlineLevel="0" collapsed="false">
      <c r="A10" s="7" t="s">
        <v>1138</v>
      </c>
      <c r="B10" s="8" t="s">
        <v>1139</v>
      </c>
      <c r="C10" s="7" t="s">
        <v>1140</v>
      </c>
      <c r="D10" s="10"/>
    </row>
    <row r="11" customFormat="false" ht="21" hidden="false" customHeight="true" outlineLevel="0" collapsed="false">
      <c r="A11" s="7" t="s">
        <v>1141</v>
      </c>
      <c r="B11" s="8" t="s">
        <v>1142</v>
      </c>
      <c r="C11" s="7" t="s">
        <v>1143</v>
      </c>
      <c r="D11" s="10"/>
    </row>
    <row r="12" customFormat="false" ht="21" hidden="false" customHeight="true" outlineLevel="0" collapsed="false">
      <c r="A12" s="7" t="s">
        <v>1144</v>
      </c>
      <c r="B12" s="8" t="s">
        <v>1145</v>
      </c>
      <c r="C12" s="7" t="s">
        <v>1146</v>
      </c>
    </row>
    <row r="13" customFormat="false" ht="21" hidden="false" customHeight="true" outlineLevel="0" collapsed="false">
      <c r="A13" s="7" t="s">
        <v>1147</v>
      </c>
      <c r="B13" s="8" t="s">
        <v>1148</v>
      </c>
      <c r="C13" s="7" t="s">
        <v>1149</v>
      </c>
    </row>
    <row r="14" customFormat="false" ht="23.25" hidden="false" customHeight="true" outlineLevel="0" collapsed="false">
      <c r="A14" s="7" t="s">
        <v>1150</v>
      </c>
      <c r="B14" s="8" t="s">
        <v>1151</v>
      </c>
      <c r="C14" s="7" t="s">
        <v>1152</v>
      </c>
    </row>
    <row r="15" customFormat="false" ht="26.25" hidden="false" customHeight="true" outlineLevel="0" collapsed="false">
      <c r="A15" s="7" t="s">
        <v>1153</v>
      </c>
      <c r="B15" s="8" t="s">
        <v>1154</v>
      </c>
      <c r="C15" s="7" t="s">
        <v>1155</v>
      </c>
    </row>
    <row r="16" customFormat="false" ht="21" hidden="false" customHeight="true" outlineLevel="0" collapsed="false">
      <c r="A16" s="7" t="s">
        <v>1156</v>
      </c>
      <c r="B16" s="8" t="s">
        <v>1157</v>
      </c>
      <c r="C16" s="7" t="s">
        <v>1158</v>
      </c>
    </row>
    <row r="17" customFormat="false" ht="22.5" hidden="false" customHeight="true" outlineLevel="0" collapsed="false">
      <c r="A17" s="7" t="s">
        <v>1159</v>
      </c>
      <c r="B17" s="8" t="s">
        <v>1160</v>
      </c>
      <c r="C17" s="7" t="s">
        <v>1161</v>
      </c>
    </row>
    <row r="18" customFormat="false" ht="13.5" hidden="false" customHeight="true" outlineLevel="0" collapsed="false">
      <c r="A18" s="7" t="s">
        <v>1162</v>
      </c>
      <c r="B18" s="8" t="s">
        <v>1163</v>
      </c>
      <c r="C18" s="7" t="s">
        <v>1164</v>
      </c>
    </row>
    <row r="19" customFormat="false" ht="13.5" hidden="false" customHeight="true" outlineLevel="0" collapsed="false">
      <c r="A19" s="7" t="s">
        <v>1165</v>
      </c>
      <c r="B19" s="8" t="s">
        <v>1166</v>
      </c>
      <c r="C19" s="7" t="s">
        <v>1167</v>
      </c>
    </row>
    <row r="20" customFormat="false" ht="20.25" hidden="false" customHeight="true" outlineLevel="0" collapsed="false">
      <c r="A20" s="7" t="s">
        <v>1168</v>
      </c>
      <c r="B20" s="11" t="s">
        <v>1169</v>
      </c>
      <c r="C20" s="7" t="s">
        <v>1170</v>
      </c>
    </row>
    <row r="21" customFormat="false" ht="20.25" hidden="false" customHeight="true" outlineLevel="0" collapsed="false">
      <c r="A21" s="7" t="s">
        <v>1171</v>
      </c>
      <c r="B21" s="11" t="s">
        <v>1172</v>
      </c>
      <c r="C21" s="7" t="s">
        <v>1173</v>
      </c>
    </row>
    <row r="22" customFormat="false" ht="30.95" hidden="false" customHeight="true" outlineLevel="0" collapsed="false">
      <c r="A22" s="7" t="s">
        <v>1174</v>
      </c>
      <c r="B22" s="11" t="s">
        <v>1175</v>
      </c>
      <c r="C22" s="7" t="s">
        <v>1176</v>
      </c>
    </row>
    <row r="23" customFormat="false" ht="26.25" hidden="false" customHeight="true" outlineLevel="0" collapsed="false">
      <c r="A23" s="7" t="s">
        <v>1177</v>
      </c>
    </row>
    <row r="24" customFormat="false" ht="13.5" hidden="false" customHeight="true" outlineLevel="0" collapsed="false">
      <c r="A24" s="7" t="s">
        <v>1178</v>
      </c>
      <c r="C24" s="7"/>
    </row>
    <row r="25" customFormat="false" ht="13.5" hidden="false" customHeight="true" outlineLevel="0" collapsed="false">
      <c r="A25" s="7" t="s">
        <v>1179</v>
      </c>
      <c r="C25" s="7"/>
    </row>
    <row r="26" customFormat="false" ht="27" hidden="false" customHeight="true" outlineLevel="0" collapsed="false">
      <c r="A26" s="7" t="s">
        <v>1180</v>
      </c>
    </row>
    <row r="27" customFormat="false" ht="27" hidden="false" customHeight="true" outlineLevel="0" collapsed="false">
      <c r="A27" s="7" t="s">
        <v>1181</v>
      </c>
    </row>
    <row r="28" customFormat="false" ht="13.5" hidden="false" customHeight="true" outlineLevel="0" collapsed="false">
      <c r="A28" s="7" t="s">
        <v>1182</v>
      </c>
    </row>
    <row r="29" customFormat="false" ht="22.5" hidden="false" customHeight="true" outlineLevel="0" collapsed="false">
      <c r="A29" s="7" t="s">
        <v>1183</v>
      </c>
      <c r="C29" s="11"/>
    </row>
    <row r="30" customFormat="false" ht="13.5" hidden="false" customHeight="true" outlineLevel="0" collapsed="false">
      <c r="A30" s="7" t="s">
        <v>1184</v>
      </c>
      <c r="B30" s="12"/>
      <c r="C30" s="11"/>
    </row>
    <row r="31" customFormat="false" ht="13.5" hidden="false" customHeight="true" outlineLevel="0" collapsed="false">
      <c r="A31" s="7" t="s">
        <v>1185</v>
      </c>
      <c r="B31" s="13"/>
      <c r="C31" s="11"/>
    </row>
    <row r="32" customFormat="false" ht="13.5" hidden="false" customHeight="true" outlineLevel="0" collapsed="false">
      <c r="A32" s="7" t="s">
        <v>1186</v>
      </c>
      <c r="B32" s="14"/>
      <c r="C32" s="11"/>
    </row>
    <row r="33" customFormat="false" ht="13.5" hidden="false" customHeight="true" outlineLevel="0" collapsed="false">
      <c r="A33" s="7" t="s">
        <v>1187</v>
      </c>
      <c r="B33" s="15"/>
      <c r="C33" s="11"/>
    </row>
    <row r="34" customFormat="false" ht="13.5" hidden="false" customHeight="true" outlineLevel="0" collapsed="false">
      <c r="A34" s="7" t="s">
        <v>1188</v>
      </c>
      <c r="B34" s="15"/>
      <c r="C34" s="11"/>
    </row>
    <row r="35" customFormat="false" ht="13.5" hidden="false" customHeight="true" outlineLevel="0" collapsed="false">
      <c r="A35" s="7" t="s">
        <v>1189</v>
      </c>
      <c r="B35" s="15"/>
      <c r="C35" s="11"/>
    </row>
    <row r="36" customFormat="false" ht="13.5" hidden="false" customHeight="true" outlineLevel="0" collapsed="false">
      <c r="A36" s="7" t="s">
        <v>1190</v>
      </c>
      <c r="B36" s="15"/>
      <c r="C36" s="11"/>
    </row>
    <row r="37" customFormat="false" ht="13.5" hidden="false" customHeight="true" outlineLevel="0" collapsed="false">
      <c r="A37" s="7" t="s">
        <v>1191</v>
      </c>
      <c r="B37" s="14"/>
      <c r="C37" s="11"/>
    </row>
    <row r="38" customFormat="false" ht="15" hidden="false" customHeight="false" outlineLevel="0" collapsed="false">
      <c r="B38" s="14"/>
      <c r="C38" s="11"/>
    </row>
    <row r="39" customFormat="false" ht="15" hidden="false" customHeight="false" outlineLevel="0" collapsed="false">
      <c r="B39" s="15"/>
      <c r="C39" s="11"/>
    </row>
    <row r="40" customFormat="false" ht="15" hidden="false" customHeight="false" outlineLevel="0" collapsed="false">
      <c r="B40" s="15"/>
      <c r="C40" s="7"/>
    </row>
    <row r="41" customFormat="false" ht="23.25" hidden="false" customHeight="true" outlineLevel="0" collapsed="false">
      <c r="B41" s="15"/>
    </row>
    <row r="42" customFormat="false" ht="23.25" hidden="false" customHeight="true" outlineLevel="0" collapsed="false">
      <c r="B42" s="14"/>
    </row>
    <row r="43" customFormat="false" ht="23.25" hidden="false" customHeight="true" outlineLevel="0" collapsed="false">
      <c r="B43" s="14"/>
    </row>
    <row r="44" customFormat="false" ht="23.25" hidden="false" customHeight="true" outlineLevel="0" collapsed="false">
      <c r="B44" s="14"/>
    </row>
    <row r="45" customFormat="false" ht="23.25" hidden="false" customHeight="true" outlineLevel="0" collapsed="false">
      <c r="B45" s="13"/>
    </row>
    <row r="46" customFormat="false" ht="23.25" hidden="false" customHeight="true" outlineLevel="0" collapsed="false">
      <c r="B46" s="14"/>
    </row>
    <row r="47" customFormat="false" ht="23.25" hidden="false" customHeight="true" outlineLevel="0" collapsed="false">
      <c r="B47" s="14"/>
    </row>
    <row r="48" customFormat="false" ht="23.25" hidden="false" customHeight="true" outlineLevel="0" collapsed="false">
      <c r="B48" s="14"/>
    </row>
    <row r="49" customFormat="false" ht="23.25" hidden="false" customHeight="true" outlineLevel="0" collapsed="false">
      <c r="B49" s="14"/>
    </row>
    <row r="50" customFormat="false" ht="23.25" hidden="false" customHeight="true" outlineLevel="0" collapsed="false">
      <c r="B50" s="14"/>
    </row>
    <row r="51" customFormat="false" ht="15" hidden="false" customHeight="false" outlineLevel="0" collapsed="false">
      <c r="B51" s="14"/>
    </row>
    <row r="52" customFormat="false" ht="15" hidden="false" customHeight="false" outlineLevel="0" collapsed="false">
      <c r="B52" s="14"/>
    </row>
    <row r="53" customFormat="false" ht="15" hidden="false" customHeight="false" outlineLevel="0" collapsed="false">
      <c r="B53" s="14"/>
    </row>
    <row r="54" customFormat="false" ht="15" hidden="false" customHeight="false" outlineLevel="0" collapsed="false">
      <c r="B54" s="13"/>
    </row>
    <row r="55" customFormat="false" ht="15" hidden="false" customHeight="false" outlineLevel="0" collapsed="false">
      <c r="B55" s="16"/>
    </row>
    <row r="56" customFormat="false" ht="15" hidden="false" customHeight="false" outlineLevel="0" collapsed="false">
      <c r="B56" s="16"/>
      <c r="C56" s="13"/>
    </row>
    <row r="57" customFormat="false" ht="15" hidden="false" customHeight="false" outlineLevel="0" collapsed="false">
      <c r="B57" s="16"/>
      <c r="C57" s="14"/>
    </row>
    <row r="58" customFormat="false" ht="15" hidden="false" customHeight="false" outlineLevel="0" collapsed="false">
      <c r="B58" s="14"/>
      <c r="C58" s="14"/>
    </row>
    <row r="59" customFormat="false" ht="15" hidden="false" customHeight="false" outlineLevel="0" collapsed="false">
      <c r="B59" s="16"/>
      <c r="C59" s="14"/>
    </row>
    <row r="60" customFormat="false" ht="15" hidden="false" customHeight="false" outlineLevel="0" collapsed="false">
      <c r="B60" s="13"/>
      <c r="C60" s="14"/>
    </row>
    <row r="61" customFormat="false" ht="15" hidden="false" customHeight="false" outlineLevel="0" collapsed="false">
      <c r="B61" s="14"/>
      <c r="C61" s="13"/>
    </row>
    <row r="62" customFormat="false" ht="15" hidden="false" customHeight="false" outlineLevel="0" collapsed="false">
      <c r="B62" s="14"/>
      <c r="C62" s="14"/>
    </row>
    <row r="63" customFormat="false" ht="15" hidden="false" customHeight="false" outlineLevel="0" collapsed="false">
      <c r="B63" s="14"/>
      <c r="C63" s="14"/>
    </row>
    <row r="64" customFormat="false" ht="15" hidden="false" customHeight="false" outlineLevel="0" collapsed="false">
      <c r="B64" s="14"/>
      <c r="C64" s="14"/>
    </row>
    <row r="65" customFormat="false" ht="15" hidden="false" customHeight="false" outlineLevel="0" collapsed="false">
      <c r="B65" s="14"/>
      <c r="C65" s="14"/>
    </row>
    <row r="66" customFormat="false" ht="15" hidden="false" customHeight="false" outlineLevel="0" collapsed="false">
      <c r="B66" s="14"/>
      <c r="C66" s="14"/>
    </row>
    <row r="67" customFormat="false" ht="15" hidden="false" customHeight="false" outlineLevel="0" collapsed="false">
      <c r="B67" s="14"/>
      <c r="C67" s="14"/>
    </row>
    <row r="68" customFormat="false" ht="15" hidden="false" customHeight="false" outlineLevel="0" collapsed="false">
      <c r="B68" s="14"/>
      <c r="C68" s="14"/>
    </row>
    <row r="69" customFormat="false" ht="15" hidden="false" customHeight="false" outlineLevel="0" collapsed="false">
      <c r="B69" s="14"/>
    </row>
    <row r="70" customFormat="false" ht="15" hidden="false" customHeight="false" outlineLevel="0" collapsed="false">
      <c r="B70" s="13"/>
    </row>
    <row r="71" customFormat="false" ht="15" hidden="false" customHeight="false" outlineLevel="0" collapsed="false">
      <c r="B71" s="14"/>
    </row>
    <row r="72" customFormat="false" ht="15" hidden="false" customHeight="false" outlineLevel="0" collapsed="false">
      <c r="B72" s="14"/>
    </row>
    <row r="73" customFormat="false" ht="15" hidden="false" customHeight="false" outlineLevel="0" collapsed="false">
      <c r="B73" s="14"/>
    </row>
    <row r="74" customFormat="false" ht="15" hidden="false" customHeight="false" outlineLevel="0" collapsed="false">
      <c r="B74" s="14"/>
    </row>
    <row r="75" customFormat="false" ht="15" hidden="false" customHeight="false" outlineLevel="0" collapsed="false">
      <c r="B75" s="14"/>
    </row>
    <row r="76" customFormat="false" ht="15" hidden="false" customHeight="false" outlineLevel="0" collapsed="false">
      <c r="B76" s="14"/>
    </row>
    <row r="77" customFormat="false" ht="15" hidden="false" customHeight="false" outlineLevel="0" collapsed="false">
      <c r="B77" s="14"/>
    </row>
    <row r="78" customFormat="false" ht="15" hidden="false" customHeight="false" outlineLevel="0" collapsed="false">
      <c r="B78" s="14"/>
    </row>
    <row r="79" customFormat="false" ht="15" hidden="false" customHeight="false" outlineLevel="0" collapsed="false">
      <c r="B79" s="14"/>
    </row>
    <row r="80" customFormat="false" ht="15" hidden="false" customHeight="false" outlineLevel="0" collapsed="false">
      <c r="B80" s="17"/>
    </row>
    <row r="81" customFormat="false" ht="15" hidden="false" customHeight="false" outlineLevel="0" collapsed="false">
      <c r="B81" s="17"/>
    </row>
    <row r="82" customFormat="false" ht="15" hidden="false" customHeight="false" outlineLevel="0" collapsed="false">
      <c r="B82" s="13"/>
    </row>
    <row r="83" customFormat="false" ht="15" hidden="false" customHeight="false" outlineLevel="0" collapsed="false">
      <c r="B83" s="14"/>
    </row>
    <row r="84" customFormat="false" ht="15" hidden="false" customHeight="false" outlineLevel="0" collapsed="false">
      <c r="B84" s="14"/>
    </row>
    <row r="85" customFormat="false" ht="15" hidden="false" customHeight="false" outlineLevel="0" collapsed="false">
      <c r="B85" s="14"/>
    </row>
    <row r="86" customFormat="false" ht="15" hidden="false" customHeight="false" outlineLevel="0" collapsed="false">
      <c r="B86" s="14"/>
    </row>
    <row r="87" customFormat="false" ht="15" hidden="false" customHeight="false" outlineLevel="0" collapsed="false">
      <c r="B87" s="13"/>
    </row>
    <row r="88" customFormat="false" ht="15" hidden="false" customHeight="false" outlineLevel="0" collapsed="false">
      <c r="B88" s="14"/>
    </row>
    <row r="89" customFormat="false" ht="15" hidden="false" customHeight="false" outlineLevel="0" collapsed="false">
      <c r="B89" s="14"/>
    </row>
    <row r="90" customFormat="false" ht="15" hidden="false" customHeight="false" outlineLevel="0" collapsed="false">
      <c r="B90" s="14"/>
    </row>
    <row r="91" customFormat="false" ht="15" hidden="false" customHeight="false" outlineLevel="0" collapsed="false">
      <c r="B91" s="14"/>
    </row>
    <row r="92" customFormat="false" ht="15" hidden="false" customHeight="false" outlineLevel="0" collapsed="false">
      <c r="B92" s="14"/>
    </row>
    <row r="93" customFormat="false" ht="15" hidden="false" customHeight="false" outlineLevel="0" collapsed="false">
      <c r="B93" s="14"/>
    </row>
    <row r="94" customFormat="false" ht="15" hidden="false" customHeight="false" outlineLevel="0" collapsed="false">
      <c r="B94" s="1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0"/>
  <sheetViews>
    <sheetView showFormulas="false" showGridLines="true" showRowColHeaders="true" showZeros="true" rightToLeft="false" tabSelected="false" showOutlineSymbols="true" defaultGridColor="true" view="normal" topLeftCell="N1" colorId="64" zoomScale="85" zoomScaleNormal="85" zoomScalePageLayoutView="100" workbookViewId="0">
      <selection pane="topLeft" activeCell="I1" activeCellId="0" sqref="I1"/>
    </sheetView>
  </sheetViews>
  <sheetFormatPr defaultColWidth="10.96875" defaultRowHeight="15" zeroHeight="false" outlineLevelRow="0" outlineLevelCol="0"/>
  <cols>
    <col collapsed="false" customWidth="true" hidden="false" outlineLevel="0" max="1" min="1" style="0" width="41.56"/>
    <col collapsed="false" customWidth="true" hidden="false" outlineLevel="0" max="2" min="2" style="0" width="43.42"/>
    <col collapsed="false" customWidth="true" hidden="false" outlineLevel="0" max="3" min="3" style="0" width="35.14"/>
    <col collapsed="false" customWidth="true" hidden="false" outlineLevel="0" max="4" min="4" style="0" width="34.42"/>
    <col collapsed="false" customWidth="true" hidden="false" outlineLevel="0" max="7" min="5" style="0" width="45.42"/>
    <col collapsed="false" customWidth="true" hidden="false" outlineLevel="0" max="8" min="8" style="0" width="31.42"/>
    <col collapsed="false" customWidth="true" hidden="false" outlineLevel="0" max="9" min="9" style="0" width="29.13"/>
    <col collapsed="false" customWidth="true" hidden="false" outlineLevel="0" max="15" min="10" style="0" width="36.42"/>
    <col collapsed="false" customWidth="true" hidden="false" outlineLevel="0" max="19" min="16" style="0" width="31.42"/>
  </cols>
  <sheetData>
    <row r="1" s="6" customFormat="true" ht="56.25" hidden="false" customHeight="true" outlineLevel="0" collapsed="false">
      <c r="A1" s="4" t="s">
        <v>1067</v>
      </c>
      <c r="B1" s="4" t="s">
        <v>1069</v>
      </c>
      <c r="C1" s="5" t="s">
        <v>1071</v>
      </c>
      <c r="D1" s="5" t="s">
        <v>1073</v>
      </c>
      <c r="E1" s="5" t="s">
        <v>1075</v>
      </c>
      <c r="F1" s="5" t="s">
        <v>1077</v>
      </c>
      <c r="G1" s="5" t="s">
        <v>1078</v>
      </c>
      <c r="H1" s="5" t="s">
        <v>1079</v>
      </c>
      <c r="I1" s="5" t="s">
        <v>1080</v>
      </c>
      <c r="J1" s="5" t="s">
        <v>1081</v>
      </c>
      <c r="K1" s="5" t="s">
        <v>1082</v>
      </c>
      <c r="L1" s="5" t="s">
        <v>1083</v>
      </c>
      <c r="M1" s="5" t="s">
        <v>1084</v>
      </c>
      <c r="N1" s="5" t="s">
        <v>1085</v>
      </c>
      <c r="O1" s="5" t="s">
        <v>1086</v>
      </c>
      <c r="P1" s="5" t="s">
        <v>1087</v>
      </c>
      <c r="Q1" s="5" t="s">
        <v>1088</v>
      </c>
      <c r="R1" s="5" t="s">
        <v>1089</v>
      </c>
      <c r="S1" s="5" t="s">
        <v>1090</v>
      </c>
    </row>
    <row r="2" customFormat="false" ht="21.95" hidden="false" customHeight="true" outlineLevel="0" collapsed="false">
      <c r="A2" s="7" t="s">
        <v>1092</v>
      </c>
      <c r="B2" s="7" t="s">
        <v>1192</v>
      </c>
      <c r="C2" s="8" t="s">
        <v>1093</v>
      </c>
      <c r="D2" s="18" t="s">
        <v>1193</v>
      </c>
      <c r="E2" s="18" t="s">
        <v>1096</v>
      </c>
      <c r="F2" s="18" t="s">
        <v>1194</v>
      </c>
      <c r="G2" s="7" t="s">
        <v>1195</v>
      </c>
      <c r="H2" s="18" t="s">
        <v>1196</v>
      </c>
      <c r="I2" s="18" t="s">
        <v>1197</v>
      </c>
      <c r="J2" s="18" t="s">
        <v>1198</v>
      </c>
      <c r="K2" s="18" t="s">
        <v>1199</v>
      </c>
      <c r="L2" s="18" t="s">
        <v>1200</v>
      </c>
      <c r="M2" s="18" t="s">
        <v>1201</v>
      </c>
      <c r="N2" s="18" t="s">
        <v>1202</v>
      </c>
      <c r="O2" s="18" t="s">
        <v>1203</v>
      </c>
      <c r="P2" s="18" t="s">
        <v>1204</v>
      </c>
      <c r="Q2" s="18" t="s">
        <v>1205</v>
      </c>
      <c r="R2" s="18" t="s">
        <v>1206</v>
      </c>
      <c r="S2" s="18" t="s">
        <v>1207</v>
      </c>
    </row>
    <row r="3" customFormat="false" ht="30.75" hidden="false" customHeight="true" outlineLevel="0" collapsed="false">
      <c r="A3" s="7" t="s">
        <v>1098</v>
      </c>
      <c r="B3" s="7" t="s">
        <v>1208</v>
      </c>
      <c r="C3" s="8" t="s">
        <v>1099</v>
      </c>
      <c r="D3" s="18" t="s">
        <v>1209</v>
      </c>
      <c r="E3" s="18" t="s">
        <v>1102</v>
      </c>
      <c r="F3" s="18" t="s">
        <v>1210</v>
      </c>
      <c r="G3" s="7" t="s">
        <v>1211</v>
      </c>
      <c r="H3" s="18" t="s">
        <v>1212</v>
      </c>
      <c r="I3" s="18" t="s">
        <v>1213</v>
      </c>
      <c r="J3" s="18" t="s">
        <v>1214</v>
      </c>
      <c r="K3" s="18" t="s">
        <v>1215</v>
      </c>
      <c r="L3" s="18" t="s">
        <v>1216</v>
      </c>
      <c r="M3" s="18" t="s">
        <v>1217</v>
      </c>
      <c r="N3" s="18" t="s">
        <v>1218</v>
      </c>
      <c r="O3" s="18" t="s">
        <v>1219</v>
      </c>
      <c r="P3" s="18" t="s">
        <v>1220</v>
      </c>
      <c r="Q3" s="18" t="s">
        <v>1221</v>
      </c>
      <c r="R3" s="18" t="s">
        <v>1222</v>
      </c>
      <c r="S3" s="18" t="s">
        <v>1223</v>
      </c>
    </row>
    <row r="4" customFormat="false" ht="57.95" hidden="false" customHeight="true" outlineLevel="0" collapsed="false">
      <c r="A4" s="7" t="s">
        <v>1104</v>
      </c>
      <c r="B4" s="7" t="s">
        <v>1224</v>
      </c>
      <c r="C4" s="8" t="s">
        <v>1105</v>
      </c>
      <c r="D4" s="18" t="s">
        <v>1225</v>
      </c>
      <c r="E4" s="18" t="s">
        <v>1108</v>
      </c>
      <c r="F4" s="18" t="s">
        <v>1226</v>
      </c>
      <c r="G4" s="7" t="s">
        <v>1227</v>
      </c>
      <c r="H4" s="18" t="s">
        <v>1228</v>
      </c>
      <c r="I4" s="18" t="s">
        <v>1229</v>
      </c>
      <c r="J4" s="18" t="s">
        <v>1230</v>
      </c>
      <c r="K4" s="18" t="s">
        <v>1231</v>
      </c>
      <c r="L4" s="19"/>
      <c r="M4" s="18" t="s">
        <v>1232</v>
      </c>
      <c r="N4" s="18" t="s">
        <v>1233</v>
      </c>
      <c r="O4" s="18" t="s">
        <v>1234</v>
      </c>
      <c r="P4" s="18" t="s">
        <v>1235</v>
      </c>
      <c r="Q4" s="18" t="s">
        <v>1236</v>
      </c>
      <c r="R4" s="18" t="s">
        <v>1237</v>
      </c>
      <c r="S4" s="18" t="s">
        <v>1238</v>
      </c>
    </row>
    <row r="5" customFormat="false" ht="31.5" hidden="false" customHeight="true" outlineLevel="0" collapsed="false">
      <c r="A5" s="7" t="s">
        <v>1110</v>
      </c>
      <c r="B5" s="7" t="s">
        <v>1239</v>
      </c>
      <c r="C5" s="8" t="s">
        <v>1111</v>
      </c>
      <c r="D5" s="18" t="s">
        <v>1240</v>
      </c>
      <c r="E5" s="18" t="s">
        <v>1114</v>
      </c>
      <c r="F5" s="18" t="s">
        <v>1241</v>
      </c>
      <c r="G5" s="7" t="s">
        <v>1242</v>
      </c>
      <c r="H5" s="18" t="s">
        <v>1243</v>
      </c>
      <c r="I5" s="10" t="s">
        <v>1095</v>
      </c>
      <c r="J5" s="18" t="s">
        <v>1244</v>
      </c>
      <c r="K5" s="18" t="s">
        <v>1245</v>
      </c>
      <c r="L5" s="19"/>
      <c r="M5" s="18" t="s">
        <v>1246</v>
      </c>
      <c r="N5" s="18" t="s">
        <v>1247</v>
      </c>
      <c r="O5" s="18" t="s">
        <v>1248</v>
      </c>
      <c r="P5" s="18" t="s">
        <v>1249</v>
      </c>
      <c r="Q5" s="18" t="s">
        <v>1250</v>
      </c>
      <c r="R5" s="18" t="s">
        <v>1251</v>
      </c>
      <c r="S5" s="18" t="s">
        <v>1252</v>
      </c>
    </row>
    <row r="6" customFormat="false" ht="24" hidden="false" customHeight="true" outlineLevel="0" collapsed="false">
      <c r="A6" s="7" t="s">
        <v>1116</v>
      </c>
      <c r="B6" s="7" t="s">
        <v>1253</v>
      </c>
      <c r="C6" s="8" t="s">
        <v>1117</v>
      </c>
      <c r="D6" s="18" t="s">
        <v>1254</v>
      </c>
      <c r="E6" s="18" t="s">
        <v>1120</v>
      </c>
      <c r="F6" s="18" t="s">
        <v>1255</v>
      </c>
      <c r="G6" s="7" t="s">
        <v>1256</v>
      </c>
      <c r="H6" s="18" t="s">
        <v>1257</v>
      </c>
      <c r="I6" s="10" t="s">
        <v>1101</v>
      </c>
      <c r="J6" s="18" t="s">
        <v>1258</v>
      </c>
      <c r="K6" s="18" t="s">
        <v>1259</v>
      </c>
      <c r="L6" s="19"/>
      <c r="M6" s="18" t="s">
        <v>1260</v>
      </c>
      <c r="N6" s="18" t="s">
        <v>1261</v>
      </c>
      <c r="O6" s="18" t="s">
        <v>1262</v>
      </c>
      <c r="P6" s="18" t="s">
        <v>1263</v>
      </c>
      <c r="Q6" s="18" t="s">
        <v>1264</v>
      </c>
      <c r="R6" s="18" t="s">
        <v>1265</v>
      </c>
      <c r="S6" s="18" t="s">
        <v>1266</v>
      </c>
    </row>
    <row r="7" customFormat="false" ht="38.45" hidden="false" customHeight="true" outlineLevel="0" collapsed="false">
      <c r="A7" s="7" t="s">
        <v>1122</v>
      </c>
      <c r="B7" s="7" t="s">
        <v>1267</v>
      </c>
      <c r="C7" s="8" t="s">
        <v>1123</v>
      </c>
      <c r="D7" s="18" t="s">
        <v>1268</v>
      </c>
      <c r="E7" s="18" t="s">
        <v>1269</v>
      </c>
      <c r="F7" s="18" t="s">
        <v>1270</v>
      </c>
      <c r="G7" s="7" t="s">
        <v>1271</v>
      </c>
      <c r="H7" s="18" t="s">
        <v>1272</v>
      </c>
      <c r="I7" s="10" t="s">
        <v>1107</v>
      </c>
      <c r="J7" s="18" t="s">
        <v>1273</v>
      </c>
      <c r="K7" s="18" t="s">
        <v>1274</v>
      </c>
      <c r="L7" s="19"/>
      <c r="M7" s="18" t="s">
        <v>1275</v>
      </c>
      <c r="N7" s="18" t="s">
        <v>1276</v>
      </c>
      <c r="O7" s="18" t="s">
        <v>1277</v>
      </c>
      <c r="P7" s="18" t="s">
        <v>1278</v>
      </c>
      <c r="Q7" s="18" t="s">
        <v>1279</v>
      </c>
      <c r="R7" s="18" t="s">
        <v>1280</v>
      </c>
      <c r="S7" s="18" t="s">
        <v>1281</v>
      </c>
    </row>
    <row r="8" customFormat="false" ht="41.25" hidden="false" customHeight="true" outlineLevel="0" collapsed="false">
      <c r="A8" s="7" t="s">
        <v>1128</v>
      </c>
      <c r="B8" s="7" t="s">
        <v>1282</v>
      </c>
      <c r="C8" s="8" t="s">
        <v>1129</v>
      </c>
      <c r="D8" s="8"/>
      <c r="E8" s="18" t="s">
        <v>1126</v>
      </c>
      <c r="F8" s="18" t="s">
        <v>1283</v>
      </c>
      <c r="G8" s="7" t="s">
        <v>1284</v>
      </c>
      <c r="H8" s="18" t="s">
        <v>1285</v>
      </c>
      <c r="I8" s="18" t="s">
        <v>1286</v>
      </c>
      <c r="J8" s="18" t="s">
        <v>1287</v>
      </c>
      <c r="K8" s="18" t="s">
        <v>1288</v>
      </c>
      <c r="L8" s="19"/>
      <c r="M8" s="18" t="s">
        <v>1289</v>
      </c>
      <c r="N8" s="18" t="s">
        <v>1290</v>
      </c>
      <c r="O8" s="18" t="s">
        <v>1291</v>
      </c>
      <c r="P8" s="18" t="s">
        <v>1292</v>
      </c>
      <c r="Q8" s="18" t="s">
        <v>1293</v>
      </c>
      <c r="R8" s="18" t="s">
        <v>1294</v>
      </c>
      <c r="S8" s="18" t="s">
        <v>1295</v>
      </c>
    </row>
    <row r="9" customFormat="false" ht="41.25" hidden="false" customHeight="true" outlineLevel="0" collapsed="false">
      <c r="A9" s="7" t="s">
        <v>1134</v>
      </c>
      <c r="B9" s="7" t="s">
        <v>1296</v>
      </c>
      <c r="C9" s="8" t="s">
        <v>1135</v>
      </c>
      <c r="D9" s="8"/>
      <c r="E9" s="18" t="s">
        <v>1132</v>
      </c>
      <c r="F9" s="18" t="s">
        <v>1297</v>
      </c>
      <c r="G9" s="7" t="s">
        <v>1097</v>
      </c>
      <c r="H9" s="18" t="s">
        <v>1298</v>
      </c>
      <c r="I9" s="10" t="s">
        <v>1113</v>
      </c>
      <c r="J9" s="18" t="s">
        <v>1299</v>
      </c>
      <c r="K9" s="18" t="s">
        <v>1300</v>
      </c>
      <c r="L9" s="19"/>
      <c r="M9" s="18" t="s">
        <v>1301</v>
      </c>
      <c r="N9" s="18" t="s">
        <v>1302</v>
      </c>
      <c r="O9" s="18" t="s">
        <v>1303</v>
      </c>
      <c r="P9" s="18" t="s">
        <v>1304</v>
      </c>
      <c r="Q9" s="18" t="s">
        <v>1305</v>
      </c>
      <c r="R9" s="18" t="s">
        <v>1306</v>
      </c>
      <c r="S9" s="18" t="s">
        <v>1307</v>
      </c>
    </row>
    <row r="10" customFormat="false" ht="21" hidden="false" customHeight="true" outlineLevel="0" collapsed="false">
      <c r="A10" s="7" t="s">
        <v>1138</v>
      </c>
      <c r="B10" s="7" t="s">
        <v>1308</v>
      </c>
      <c r="C10" s="8" t="s">
        <v>1139</v>
      </c>
      <c r="D10" s="8"/>
      <c r="E10" s="8"/>
      <c r="F10" s="18" t="s">
        <v>1309</v>
      </c>
      <c r="G10" s="7" t="s">
        <v>1109</v>
      </c>
      <c r="H10" s="18" t="s">
        <v>1310</v>
      </c>
      <c r="I10" s="10" t="s">
        <v>1119</v>
      </c>
      <c r="J10" s="18" t="s">
        <v>1311</v>
      </c>
      <c r="K10" s="18" t="s">
        <v>1312</v>
      </c>
      <c r="L10" s="19"/>
      <c r="M10" s="18" t="s">
        <v>1313</v>
      </c>
      <c r="N10" s="18" t="s">
        <v>1314</v>
      </c>
      <c r="O10" s="18" t="s">
        <v>1315</v>
      </c>
      <c r="P10" s="18" t="s">
        <v>1316</v>
      </c>
      <c r="Q10" s="18" t="s">
        <v>1317</v>
      </c>
      <c r="R10" s="18" t="s">
        <v>1318</v>
      </c>
      <c r="S10" s="18" t="s">
        <v>1319</v>
      </c>
    </row>
    <row r="11" customFormat="false" ht="30.95" hidden="false" customHeight="true" outlineLevel="0" collapsed="false">
      <c r="A11" s="7" t="s">
        <v>1141</v>
      </c>
      <c r="B11" s="7" t="s">
        <v>1320</v>
      </c>
      <c r="C11" s="8" t="s">
        <v>1142</v>
      </c>
      <c r="D11" s="8"/>
      <c r="E11" s="8"/>
      <c r="F11" s="18" t="s">
        <v>1321</v>
      </c>
      <c r="G11" s="7" t="s">
        <v>1322</v>
      </c>
      <c r="H11" s="18" t="s">
        <v>1323</v>
      </c>
      <c r="I11" s="10" t="s">
        <v>1125</v>
      </c>
      <c r="J11" s="18" t="s">
        <v>1324</v>
      </c>
      <c r="K11" s="18" t="s">
        <v>1325</v>
      </c>
      <c r="L11" s="19"/>
      <c r="M11" s="18" t="s">
        <v>1326</v>
      </c>
      <c r="N11" s="18" t="s">
        <v>1327</v>
      </c>
      <c r="O11" s="18" t="s">
        <v>1328</v>
      </c>
      <c r="P11" s="18" t="s">
        <v>1329</v>
      </c>
      <c r="Q11" s="18" t="s">
        <v>1330</v>
      </c>
      <c r="R11" s="18" t="s">
        <v>1331</v>
      </c>
      <c r="S11" s="18" t="s">
        <v>1332</v>
      </c>
    </row>
    <row r="12" customFormat="false" ht="28.5" hidden="false" customHeight="true" outlineLevel="0" collapsed="false">
      <c r="A12" s="7" t="s">
        <v>1144</v>
      </c>
      <c r="B12" s="7" t="s">
        <v>1333</v>
      </c>
      <c r="C12" s="8" t="s">
        <v>1145</v>
      </c>
      <c r="D12" s="8"/>
      <c r="E12" s="8"/>
      <c r="F12" s="18" t="s">
        <v>1334</v>
      </c>
      <c r="G12" s="7" t="s">
        <v>1335</v>
      </c>
      <c r="H12" s="18" t="s">
        <v>1336</v>
      </c>
      <c r="I12" s="18" t="s">
        <v>1337</v>
      </c>
      <c r="J12" s="18" t="s">
        <v>1338</v>
      </c>
      <c r="K12" s="18" t="s">
        <v>1339</v>
      </c>
      <c r="L12" s="19"/>
      <c r="M12" s="18" t="s">
        <v>1340</v>
      </c>
      <c r="N12" s="18" t="s">
        <v>1341</v>
      </c>
      <c r="P12" s="18" t="s">
        <v>1342</v>
      </c>
      <c r="Q12" s="18" t="s">
        <v>1343</v>
      </c>
      <c r="R12" s="18" t="s">
        <v>1344</v>
      </c>
      <c r="S12" s="18" t="s">
        <v>1345</v>
      </c>
    </row>
    <row r="13" customFormat="false" ht="27" hidden="false" customHeight="true" outlineLevel="0" collapsed="false">
      <c r="A13" s="7" t="s">
        <v>1147</v>
      </c>
      <c r="B13" s="7" t="s">
        <v>1346</v>
      </c>
      <c r="C13" s="8" t="s">
        <v>1148</v>
      </c>
      <c r="D13" s="8"/>
      <c r="E13" s="8"/>
      <c r="F13" s="18" t="s">
        <v>1347</v>
      </c>
      <c r="G13" s="7" t="s">
        <v>1348</v>
      </c>
      <c r="H13" s="18" t="s">
        <v>1349</v>
      </c>
      <c r="I13" s="10" t="s">
        <v>1131</v>
      </c>
      <c r="J13" s="18" t="s">
        <v>1350</v>
      </c>
      <c r="K13" s="18" t="s">
        <v>1351</v>
      </c>
      <c r="L13" s="19"/>
      <c r="M13" s="18" t="s">
        <v>1352</v>
      </c>
      <c r="N13" s="18" t="s">
        <v>1353</v>
      </c>
      <c r="O13" s="19"/>
      <c r="P13" s="18" t="s">
        <v>1354</v>
      </c>
      <c r="Q13" s="18" t="s">
        <v>1355</v>
      </c>
      <c r="R13" s="18" t="s">
        <v>1356</v>
      </c>
      <c r="S13" s="18" t="s">
        <v>1357</v>
      </c>
    </row>
    <row r="14" customFormat="false" ht="23.25" hidden="false" customHeight="true" outlineLevel="0" collapsed="false">
      <c r="A14" s="7" t="s">
        <v>1150</v>
      </c>
      <c r="B14" s="7" t="s">
        <v>1358</v>
      </c>
      <c r="C14" s="8" t="s">
        <v>1151</v>
      </c>
      <c r="D14" s="8"/>
      <c r="E14" s="8"/>
      <c r="F14" s="8"/>
      <c r="G14" s="7" t="s">
        <v>1359</v>
      </c>
      <c r="H14" s="18" t="s">
        <v>1360</v>
      </c>
      <c r="I14" s="18" t="s">
        <v>1361</v>
      </c>
      <c r="J14" s="18" t="s">
        <v>1362</v>
      </c>
      <c r="K14" s="18" t="s">
        <v>1363</v>
      </c>
      <c r="L14" s="19"/>
      <c r="M14" s="18" t="s">
        <v>1364</v>
      </c>
      <c r="N14" s="18" t="s">
        <v>1365</v>
      </c>
      <c r="O14" s="19"/>
      <c r="P14" s="18" t="s">
        <v>1366</v>
      </c>
      <c r="Q14" s="19"/>
      <c r="R14" s="18" t="s">
        <v>1367</v>
      </c>
      <c r="S14" s="18" t="s">
        <v>1368</v>
      </c>
    </row>
    <row r="15" customFormat="false" ht="26.25" hidden="false" customHeight="true" outlineLevel="0" collapsed="false">
      <c r="A15" s="7" t="s">
        <v>1153</v>
      </c>
      <c r="B15" s="7" t="s">
        <v>1369</v>
      </c>
      <c r="C15" s="8" t="s">
        <v>1154</v>
      </c>
      <c r="D15" s="8"/>
      <c r="E15" s="8"/>
      <c r="F15" s="8"/>
      <c r="G15" s="7" t="s">
        <v>1370</v>
      </c>
      <c r="H15" s="18" t="s">
        <v>1371</v>
      </c>
      <c r="I15" s="10" t="s">
        <v>1137</v>
      </c>
      <c r="J15" s="18" t="s">
        <v>1372</v>
      </c>
      <c r="K15" s="18" t="s">
        <v>1373</v>
      </c>
      <c r="L15" s="19"/>
      <c r="M15" s="18" t="s">
        <v>1374</v>
      </c>
      <c r="N15" s="18" t="s">
        <v>1375</v>
      </c>
      <c r="O15" s="19"/>
      <c r="P15" s="18" t="s">
        <v>1376</v>
      </c>
      <c r="Q15" s="19"/>
      <c r="R15" s="18" t="s">
        <v>1377</v>
      </c>
      <c r="S15" s="18" t="s">
        <v>1378</v>
      </c>
    </row>
    <row r="16" customFormat="false" ht="27.75" hidden="false" customHeight="true" outlineLevel="0" collapsed="false">
      <c r="A16" s="7" t="s">
        <v>1156</v>
      </c>
      <c r="B16" s="7" t="s">
        <v>1379</v>
      </c>
      <c r="C16" s="8" t="s">
        <v>1157</v>
      </c>
      <c r="D16" s="8"/>
      <c r="E16" s="8"/>
      <c r="F16" s="8"/>
      <c r="G16" s="7" t="s">
        <v>1380</v>
      </c>
      <c r="H16" s="18" t="s">
        <v>1381</v>
      </c>
      <c r="I16" s="18" t="s">
        <v>1382</v>
      </c>
      <c r="J16" s="18" t="s">
        <v>1383</v>
      </c>
      <c r="K16" s="18" t="s">
        <v>1384</v>
      </c>
      <c r="L16" s="19"/>
      <c r="M16" s="19"/>
      <c r="N16" s="18" t="s">
        <v>1385</v>
      </c>
      <c r="O16" s="19"/>
      <c r="P16" s="18" t="s">
        <v>1386</v>
      </c>
      <c r="Q16" s="19"/>
      <c r="R16" s="18" t="s">
        <v>1387</v>
      </c>
      <c r="S16" s="18" t="s">
        <v>1388</v>
      </c>
    </row>
    <row r="17" customFormat="false" ht="22.5" hidden="false" customHeight="true" outlineLevel="0" collapsed="false">
      <c r="A17" s="7" t="s">
        <v>1159</v>
      </c>
      <c r="B17" s="18" t="s">
        <v>1389</v>
      </c>
      <c r="C17" s="8" t="s">
        <v>1160</v>
      </c>
      <c r="D17" s="8"/>
      <c r="E17" s="8"/>
      <c r="F17" s="8"/>
      <c r="G17" s="7" t="s">
        <v>1390</v>
      </c>
      <c r="H17" s="18" t="s">
        <v>1391</v>
      </c>
      <c r="I17" s="19"/>
      <c r="J17" s="18" t="s">
        <v>1392</v>
      </c>
      <c r="K17" s="18" t="s">
        <v>1393</v>
      </c>
      <c r="L17" s="19"/>
      <c r="M17" s="19"/>
      <c r="N17" s="18" t="s">
        <v>1394</v>
      </c>
      <c r="O17" s="19"/>
      <c r="P17" s="18" t="s">
        <v>1395</v>
      </c>
      <c r="Q17" s="19"/>
      <c r="R17" s="18" t="s">
        <v>1396</v>
      </c>
      <c r="S17" s="18" t="s">
        <v>1397</v>
      </c>
    </row>
    <row r="18" customFormat="false" ht="23.45" hidden="false" customHeight="true" outlineLevel="0" collapsed="false">
      <c r="A18" s="7" t="s">
        <v>1162</v>
      </c>
      <c r="B18" s="18" t="s">
        <v>1398</v>
      </c>
      <c r="C18" s="8" t="s">
        <v>1163</v>
      </c>
      <c r="D18" s="8"/>
      <c r="E18" s="8"/>
      <c r="F18" s="8"/>
      <c r="G18" s="7" t="s">
        <v>1399</v>
      </c>
      <c r="H18" s="18" t="s">
        <v>1400</v>
      </c>
      <c r="I18" s="19"/>
      <c r="J18" s="18" t="s">
        <v>1401</v>
      </c>
      <c r="K18" s="18" t="s">
        <v>1402</v>
      </c>
      <c r="L18" s="19"/>
      <c r="M18" s="19"/>
      <c r="N18" s="18" t="s">
        <v>1403</v>
      </c>
      <c r="O18" s="19"/>
      <c r="P18" s="19"/>
      <c r="Q18" s="19"/>
      <c r="R18" s="18" t="s">
        <v>1404</v>
      </c>
      <c r="S18" s="18" t="s">
        <v>1405</v>
      </c>
    </row>
    <row r="19" customFormat="false" ht="26.25" hidden="false" customHeight="true" outlineLevel="0" collapsed="false">
      <c r="A19" s="7" t="s">
        <v>1165</v>
      </c>
      <c r="C19" s="8" t="s">
        <v>1166</v>
      </c>
      <c r="D19" s="8"/>
      <c r="E19" s="8"/>
      <c r="F19" s="8"/>
      <c r="G19" s="7" t="s">
        <v>1406</v>
      </c>
      <c r="H19" s="18" t="s">
        <v>1407</v>
      </c>
      <c r="I19" s="19"/>
      <c r="J19" s="18" t="s">
        <v>1408</v>
      </c>
      <c r="K19" s="18" t="s">
        <v>1409</v>
      </c>
      <c r="L19" s="19"/>
      <c r="M19" s="19"/>
      <c r="N19" s="18" t="s">
        <v>1410</v>
      </c>
      <c r="O19" s="19"/>
      <c r="P19" s="19"/>
      <c r="Q19" s="19"/>
      <c r="R19" s="19"/>
      <c r="S19" s="20" t="s">
        <v>1411</v>
      </c>
    </row>
    <row r="20" customFormat="false" ht="27.95" hidden="false" customHeight="true" outlineLevel="0" collapsed="false">
      <c r="A20" s="7" t="s">
        <v>1168</v>
      </c>
      <c r="C20" s="11" t="s">
        <v>1412</v>
      </c>
      <c r="D20" s="11"/>
      <c r="E20" s="11"/>
      <c r="F20" s="11"/>
      <c r="G20" s="7" t="s">
        <v>1413</v>
      </c>
      <c r="H20" s="18" t="s">
        <v>1414</v>
      </c>
      <c r="I20" s="19"/>
      <c r="J20" s="18" t="s">
        <v>1415</v>
      </c>
      <c r="K20" s="18" t="s">
        <v>1416</v>
      </c>
      <c r="L20" s="19"/>
      <c r="M20" s="19"/>
      <c r="N20" s="18" t="s">
        <v>1417</v>
      </c>
      <c r="O20" s="19"/>
      <c r="P20" s="19"/>
      <c r="Q20" s="19"/>
      <c r="R20" s="19"/>
      <c r="S20" s="19"/>
    </row>
    <row r="21" customFormat="false" ht="32.45" hidden="false" customHeight="true" outlineLevel="0" collapsed="false">
      <c r="A21" s="7" t="s">
        <v>1171</v>
      </c>
      <c r="C21" s="11" t="s">
        <v>1169</v>
      </c>
      <c r="D21" s="11"/>
      <c r="E21" s="11"/>
      <c r="F21" s="11"/>
      <c r="G21" s="7" t="s">
        <v>1418</v>
      </c>
      <c r="H21" s="18" t="s">
        <v>1419</v>
      </c>
      <c r="I21" s="19"/>
      <c r="J21" s="18" t="s">
        <v>1420</v>
      </c>
      <c r="K21" s="18" t="s">
        <v>1421</v>
      </c>
      <c r="L21" s="19"/>
      <c r="M21" s="19"/>
      <c r="N21" s="18" t="s">
        <v>1422</v>
      </c>
      <c r="O21" s="19"/>
      <c r="P21" s="19"/>
      <c r="Q21" s="19"/>
      <c r="R21" s="19"/>
      <c r="S21" s="19"/>
    </row>
    <row r="22" customFormat="false" ht="30.95" hidden="false" customHeight="true" outlineLevel="0" collapsed="false">
      <c r="A22" s="7" t="s">
        <v>1174</v>
      </c>
      <c r="C22" s="11" t="s">
        <v>1172</v>
      </c>
      <c r="D22" s="11"/>
      <c r="E22" s="11"/>
      <c r="F22" s="11"/>
      <c r="G22" s="7" t="s">
        <v>1423</v>
      </c>
      <c r="H22" s="18" t="s">
        <v>1424</v>
      </c>
      <c r="I22" s="19"/>
      <c r="J22" s="18" t="s">
        <v>1425</v>
      </c>
      <c r="K22" s="18" t="s">
        <v>1426</v>
      </c>
      <c r="L22" s="19"/>
      <c r="M22" s="19"/>
      <c r="N22" s="18" t="s">
        <v>1427</v>
      </c>
      <c r="O22" s="19"/>
      <c r="P22" s="19"/>
      <c r="Q22" s="19"/>
      <c r="R22" s="19"/>
      <c r="S22" s="19"/>
    </row>
    <row r="23" customFormat="false" ht="43.5" hidden="false" customHeight="true" outlineLevel="0" collapsed="false">
      <c r="A23" s="7" t="s">
        <v>1177</v>
      </c>
      <c r="C23" s="11" t="s">
        <v>1175</v>
      </c>
      <c r="G23" s="7" t="s">
        <v>1428</v>
      </c>
      <c r="H23" s="18" t="s">
        <v>1429</v>
      </c>
      <c r="I23" s="19"/>
      <c r="J23" s="18" t="s">
        <v>1430</v>
      </c>
      <c r="K23" s="18" t="s">
        <v>1431</v>
      </c>
      <c r="L23" s="19"/>
      <c r="M23" s="19"/>
      <c r="N23" s="18" t="s">
        <v>1432</v>
      </c>
      <c r="O23" s="19"/>
      <c r="P23" s="19"/>
      <c r="Q23" s="19"/>
      <c r="R23" s="19"/>
      <c r="S23" s="19"/>
    </row>
    <row r="24" customFormat="false" ht="24.95" hidden="false" customHeight="true" outlineLevel="0" collapsed="false">
      <c r="A24" s="7" t="s">
        <v>1178</v>
      </c>
      <c r="C24" s="18" t="s">
        <v>1433</v>
      </c>
      <c r="G24" s="7" t="s">
        <v>1434</v>
      </c>
      <c r="H24" s="7"/>
      <c r="I24" s="7"/>
      <c r="J24" s="18" t="s">
        <v>1435</v>
      </c>
      <c r="K24" s="18" t="s">
        <v>1436</v>
      </c>
      <c r="L24" s="19"/>
      <c r="M24" s="19"/>
      <c r="N24" s="18" t="s">
        <v>1437</v>
      </c>
      <c r="O24" s="19"/>
      <c r="P24" s="19"/>
      <c r="Q24" s="19"/>
      <c r="R24" s="19"/>
      <c r="S24" s="19"/>
    </row>
    <row r="25" customFormat="false" ht="30.75" hidden="false" customHeight="true" outlineLevel="0" collapsed="false">
      <c r="A25" s="7" t="s">
        <v>1179</v>
      </c>
      <c r="C25" s="9" t="s">
        <v>1094</v>
      </c>
      <c r="G25" s="7" t="s">
        <v>1438</v>
      </c>
      <c r="H25" s="7"/>
      <c r="I25" s="7"/>
      <c r="J25" s="7"/>
      <c r="K25" s="18" t="s">
        <v>1439</v>
      </c>
      <c r="L25" s="19"/>
      <c r="M25" s="19"/>
      <c r="N25" s="18" t="s">
        <v>1440</v>
      </c>
      <c r="O25" s="19"/>
      <c r="P25" s="19"/>
      <c r="Q25" s="19"/>
      <c r="R25" s="19"/>
      <c r="S25" s="19"/>
    </row>
    <row r="26" customFormat="false" ht="27" hidden="false" customHeight="true" outlineLevel="0" collapsed="false">
      <c r="A26" s="7" t="s">
        <v>1180</v>
      </c>
      <c r="C26" s="9" t="s">
        <v>1100</v>
      </c>
      <c r="G26" s="7" t="s">
        <v>1441</v>
      </c>
      <c r="H26" s="7"/>
      <c r="I26" s="7"/>
      <c r="J26" s="7"/>
      <c r="K26" s="18" t="s">
        <v>1442</v>
      </c>
      <c r="L26" s="19"/>
      <c r="M26" s="19"/>
      <c r="N26" s="18" t="s">
        <v>1443</v>
      </c>
      <c r="O26" s="19"/>
      <c r="P26" s="19"/>
      <c r="Q26" s="19"/>
      <c r="R26" s="19"/>
      <c r="S26" s="19"/>
    </row>
    <row r="27" customFormat="false" ht="27" hidden="false" customHeight="true" outlineLevel="0" collapsed="false">
      <c r="A27" s="7" t="s">
        <v>1181</v>
      </c>
      <c r="C27" s="9" t="s">
        <v>1106</v>
      </c>
      <c r="G27" s="7" t="s">
        <v>1444</v>
      </c>
      <c r="H27" s="7"/>
      <c r="I27" s="7"/>
      <c r="J27" s="7"/>
      <c r="K27" s="18" t="s">
        <v>1445</v>
      </c>
      <c r="L27" s="19"/>
      <c r="M27" s="19"/>
      <c r="N27" s="18" t="s">
        <v>1446</v>
      </c>
      <c r="O27" s="19"/>
      <c r="P27" s="19"/>
      <c r="Q27" s="19"/>
      <c r="R27" s="19"/>
      <c r="S27" s="19"/>
    </row>
    <row r="28" customFormat="false" ht="36" hidden="false" customHeight="true" outlineLevel="0" collapsed="false">
      <c r="A28" s="7" t="s">
        <v>1182</v>
      </c>
      <c r="C28" s="7" t="s">
        <v>1112</v>
      </c>
      <c r="G28" s="7" t="s">
        <v>1447</v>
      </c>
      <c r="H28" s="7"/>
      <c r="I28" s="7"/>
      <c r="J28" s="7"/>
      <c r="K28" s="18" t="s">
        <v>1448</v>
      </c>
      <c r="L28" s="19"/>
      <c r="M28" s="19"/>
      <c r="N28" s="19"/>
      <c r="O28" s="19"/>
      <c r="P28" s="19"/>
      <c r="Q28" s="19"/>
      <c r="R28" s="19"/>
      <c r="S28" s="19"/>
    </row>
    <row r="29" customFormat="false" ht="36" hidden="false" customHeight="true" outlineLevel="0" collapsed="false">
      <c r="A29" s="7" t="s">
        <v>1183</v>
      </c>
      <c r="C29" s="7" t="s">
        <v>1118</v>
      </c>
      <c r="G29" s="7" t="s">
        <v>1115</v>
      </c>
      <c r="H29" s="7"/>
      <c r="I29" s="7"/>
      <c r="J29" s="7"/>
      <c r="K29" s="18" t="s">
        <v>1449</v>
      </c>
      <c r="L29" s="19"/>
      <c r="M29" s="19"/>
      <c r="N29" s="19"/>
      <c r="O29" s="19"/>
      <c r="P29" s="19"/>
      <c r="Q29" s="19"/>
      <c r="R29" s="19"/>
      <c r="S29" s="19"/>
    </row>
    <row r="30" customFormat="false" ht="36" hidden="false" customHeight="true" outlineLevel="0" collapsed="false">
      <c r="A30" s="7" t="s">
        <v>1184</v>
      </c>
      <c r="C30" s="9" t="s">
        <v>1124</v>
      </c>
      <c r="D30" s="12"/>
      <c r="E30" s="12"/>
      <c r="F30" s="12"/>
      <c r="G30" s="7" t="s">
        <v>1450</v>
      </c>
      <c r="H30" s="7"/>
      <c r="I30" s="7"/>
      <c r="J30" s="7"/>
      <c r="K30" s="18" t="s">
        <v>1451</v>
      </c>
      <c r="L30" s="19"/>
      <c r="M30" s="19"/>
      <c r="N30" s="19"/>
      <c r="O30" s="19"/>
      <c r="P30" s="19"/>
      <c r="Q30" s="19"/>
      <c r="R30" s="19"/>
      <c r="S30" s="19"/>
    </row>
    <row r="31" customFormat="false" ht="33.75" hidden="false" customHeight="true" outlineLevel="0" collapsed="false">
      <c r="A31" s="7" t="s">
        <v>1185</v>
      </c>
      <c r="B31" s="21"/>
      <c r="C31" s="9" t="s">
        <v>1130</v>
      </c>
      <c r="D31" s="13"/>
      <c r="E31" s="13"/>
      <c r="F31" s="13"/>
      <c r="G31" s="7" t="s">
        <v>1121</v>
      </c>
      <c r="H31" s="7"/>
      <c r="I31" s="7"/>
      <c r="J31" s="7"/>
      <c r="K31" s="18" t="s">
        <v>1452</v>
      </c>
      <c r="L31" s="19"/>
      <c r="M31" s="19"/>
      <c r="N31" s="19"/>
      <c r="O31" s="19"/>
      <c r="P31" s="19"/>
      <c r="Q31" s="19"/>
      <c r="R31" s="19"/>
      <c r="S31" s="19"/>
    </row>
    <row r="32" customFormat="false" ht="33.75" hidden="false" customHeight="true" outlineLevel="0" collapsed="false">
      <c r="A32" s="7" t="s">
        <v>1186</v>
      </c>
      <c r="B32" s="21"/>
      <c r="C32" s="9" t="s">
        <v>1136</v>
      </c>
      <c r="D32" s="14"/>
      <c r="E32" s="14"/>
      <c r="F32" s="14"/>
      <c r="G32" s="7" t="s">
        <v>1127</v>
      </c>
      <c r="H32" s="7"/>
      <c r="I32" s="7"/>
      <c r="J32" s="7"/>
      <c r="K32" s="18" t="s">
        <v>1453</v>
      </c>
      <c r="L32" s="19"/>
      <c r="M32" s="19"/>
      <c r="N32" s="19"/>
      <c r="O32" s="19"/>
      <c r="P32" s="19"/>
      <c r="Q32" s="19"/>
      <c r="R32" s="19"/>
      <c r="S32" s="19"/>
    </row>
    <row r="33" customFormat="false" ht="33.75" hidden="false" customHeight="true" outlineLevel="0" collapsed="false">
      <c r="A33" s="7" t="s">
        <v>1187</v>
      </c>
      <c r="B33" s="21"/>
      <c r="C33" s="7" t="s">
        <v>1140</v>
      </c>
      <c r="D33" s="15"/>
      <c r="E33" s="15"/>
      <c r="F33" s="15"/>
      <c r="G33" s="7" t="s">
        <v>1133</v>
      </c>
      <c r="H33" s="7"/>
      <c r="I33" s="7"/>
      <c r="J33" s="7"/>
      <c r="K33" s="7"/>
      <c r="L33" s="7"/>
      <c r="M33" s="7"/>
      <c r="N33" s="7"/>
      <c r="O33" s="7"/>
      <c r="P33" s="7"/>
      <c r="Q33" s="7"/>
      <c r="R33" s="7"/>
      <c r="S33" s="7"/>
    </row>
    <row r="34" customFormat="false" ht="32.45" hidden="false" customHeight="true" outlineLevel="0" collapsed="false">
      <c r="A34" s="7" t="s">
        <v>1188</v>
      </c>
      <c r="B34" s="21"/>
      <c r="C34" s="7" t="s">
        <v>1143</v>
      </c>
      <c r="D34" s="15"/>
      <c r="E34" s="15"/>
      <c r="F34" s="15"/>
      <c r="G34" s="7" t="s">
        <v>1454</v>
      </c>
      <c r="H34" s="7"/>
      <c r="I34" s="7"/>
      <c r="J34" s="7"/>
      <c r="K34" s="7"/>
      <c r="L34" s="7"/>
      <c r="M34" s="7"/>
      <c r="N34" s="7"/>
      <c r="O34" s="7"/>
      <c r="P34" s="7"/>
      <c r="Q34" s="7"/>
      <c r="R34" s="7"/>
      <c r="S34" s="7"/>
    </row>
    <row r="35" customFormat="false" ht="41.25" hidden="false" customHeight="true" outlineLevel="0" collapsed="false">
      <c r="A35" s="7" t="s">
        <v>1189</v>
      </c>
      <c r="B35" s="21"/>
      <c r="C35" s="7" t="s">
        <v>1146</v>
      </c>
      <c r="D35" s="15"/>
      <c r="E35" s="15"/>
      <c r="F35" s="15"/>
      <c r="G35" s="7" t="s">
        <v>1455</v>
      </c>
      <c r="H35" s="7"/>
      <c r="I35" s="7"/>
      <c r="J35" s="7"/>
      <c r="K35" s="7"/>
      <c r="L35" s="7"/>
      <c r="M35" s="7"/>
      <c r="N35" s="7"/>
      <c r="O35" s="7"/>
      <c r="P35" s="7"/>
      <c r="Q35" s="7"/>
      <c r="R35" s="7"/>
      <c r="S35" s="7"/>
    </row>
    <row r="36" customFormat="false" ht="38.25" hidden="false" customHeight="true" outlineLevel="0" collapsed="false">
      <c r="A36" s="7" t="s">
        <v>1190</v>
      </c>
      <c r="B36" s="21"/>
      <c r="C36" s="7" t="s">
        <v>1149</v>
      </c>
      <c r="D36" s="15"/>
      <c r="E36" s="15"/>
      <c r="F36" s="15"/>
      <c r="G36" s="7" t="s">
        <v>1456</v>
      </c>
      <c r="H36" s="7"/>
      <c r="I36" s="7"/>
      <c r="J36" s="7"/>
      <c r="K36" s="7"/>
      <c r="L36" s="7"/>
      <c r="M36" s="7"/>
      <c r="N36" s="7"/>
      <c r="O36" s="7"/>
      <c r="P36" s="7"/>
      <c r="Q36" s="7"/>
      <c r="R36" s="7"/>
      <c r="S36" s="7"/>
    </row>
    <row r="37" customFormat="false" ht="38.45" hidden="false" customHeight="true" outlineLevel="0" collapsed="false">
      <c r="A37" s="7" t="s">
        <v>1191</v>
      </c>
      <c r="B37" s="21"/>
      <c r="C37" s="7" t="s">
        <v>1152</v>
      </c>
      <c r="D37" s="14"/>
      <c r="E37" s="14"/>
      <c r="F37" s="14"/>
      <c r="G37" s="7" t="s">
        <v>1457</v>
      </c>
      <c r="H37" s="7"/>
      <c r="I37" s="7"/>
      <c r="J37" s="7"/>
      <c r="K37" s="7"/>
      <c r="L37" s="7"/>
      <c r="M37" s="7"/>
      <c r="N37" s="7"/>
      <c r="O37" s="7"/>
      <c r="P37" s="7"/>
      <c r="Q37" s="7"/>
      <c r="R37" s="7"/>
      <c r="S37" s="7"/>
    </row>
    <row r="38" customFormat="false" ht="51" hidden="false" customHeight="false" outlineLevel="0" collapsed="false">
      <c r="C38" s="7" t="s">
        <v>1155</v>
      </c>
      <c r="D38" s="14"/>
      <c r="E38" s="14"/>
      <c r="F38" s="14"/>
      <c r="G38" s="7" t="s">
        <v>1458</v>
      </c>
      <c r="H38" s="7"/>
      <c r="I38" s="7"/>
      <c r="J38" s="7"/>
      <c r="K38" s="7"/>
      <c r="L38" s="7"/>
      <c r="M38" s="7"/>
      <c r="N38" s="7"/>
      <c r="O38" s="7"/>
      <c r="P38" s="7"/>
      <c r="Q38" s="7"/>
      <c r="R38" s="7"/>
      <c r="S38" s="7"/>
    </row>
    <row r="39" customFormat="false" ht="38.25" hidden="false" customHeight="false" outlineLevel="0" collapsed="false">
      <c r="C39" s="18" t="s">
        <v>1158</v>
      </c>
      <c r="D39" s="15"/>
      <c r="E39" s="15"/>
      <c r="F39" s="15"/>
      <c r="G39" s="18" t="s">
        <v>1459</v>
      </c>
      <c r="H39" s="7"/>
      <c r="I39" s="7"/>
      <c r="J39" s="7"/>
      <c r="K39" s="7"/>
      <c r="L39" s="7"/>
      <c r="M39" s="7"/>
      <c r="N39" s="7"/>
      <c r="O39" s="7"/>
      <c r="P39" s="7"/>
      <c r="Q39" s="7"/>
      <c r="R39" s="7"/>
      <c r="S39" s="7"/>
    </row>
    <row r="40" customFormat="false" ht="38.25" hidden="false" customHeight="false" outlineLevel="0" collapsed="false">
      <c r="C40" s="18" t="s">
        <v>1161</v>
      </c>
      <c r="D40" s="15"/>
      <c r="E40" s="15"/>
      <c r="F40" s="15"/>
      <c r="G40" s="18" t="s">
        <v>1460</v>
      </c>
      <c r="H40" s="7"/>
      <c r="I40" s="7"/>
      <c r="J40" s="7"/>
      <c r="K40" s="7"/>
      <c r="L40" s="7"/>
      <c r="M40" s="7"/>
      <c r="N40" s="7"/>
      <c r="O40" s="7"/>
      <c r="P40" s="7"/>
      <c r="Q40" s="7"/>
      <c r="R40" s="7"/>
      <c r="S40" s="7"/>
    </row>
    <row r="41" customFormat="false" ht="23.25" hidden="false" customHeight="true" outlineLevel="0" collapsed="false">
      <c r="C41" s="18" t="s">
        <v>1164</v>
      </c>
      <c r="D41" s="15"/>
      <c r="E41" s="15"/>
      <c r="F41" s="15"/>
      <c r="G41" s="18" t="s">
        <v>1461</v>
      </c>
      <c r="H41" s="7"/>
      <c r="I41" s="7"/>
      <c r="J41" s="7"/>
      <c r="K41" s="7"/>
      <c r="L41" s="7"/>
      <c r="M41" s="7"/>
      <c r="N41" s="7"/>
      <c r="O41" s="7"/>
      <c r="P41" s="7"/>
      <c r="Q41" s="7"/>
      <c r="R41" s="7"/>
      <c r="S41" s="7"/>
    </row>
    <row r="42" customFormat="false" ht="23.25" hidden="false" customHeight="true" outlineLevel="0" collapsed="false">
      <c r="C42" s="18" t="s">
        <v>1462</v>
      </c>
      <c r="D42" s="14"/>
      <c r="E42" s="14"/>
      <c r="F42" s="14"/>
      <c r="G42" s="18" t="s">
        <v>1463</v>
      </c>
      <c r="H42" s="7"/>
      <c r="I42" s="7"/>
      <c r="J42" s="7"/>
      <c r="K42" s="7"/>
      <c r="L42" s="7"/>
      <c r="M42" s="7"/>
      <c r="N42" s="7"/>
      <c r="O42" s="7"/>
      <c r="P42" s="7"/>
      <c r="Q42" s="7"/>
      <c r="R42" s="7"/>
      <c r="S42" s="7"/>
    </row>
    <row r="43" customFormat="false" ht="23.25" hidden="false" customHeight="true" outlineLevel="0" collapsed="false">
      <c r="C43" s="18" t="s">
        <v>1464</v>
      </c>
      <c r="D43" s="14"/>
      <c r="E43" s="14"/>
      <c r="F43" s="14"/>
      <c r="G43" s="18" t="s">
        <v>1465</v>
      </c>
      <c r="H43" s="7"/>
      <c r="I43" s="7"/>
      <c r="J43" s="7"/>
      <c r="K43" s="7"/>
      <c r="L43" s="7"/>
      <c r="M43" s="7"/>
      <c r="N43" s="7"/>
      <c r="O43" s="7"/>
      <c r="P43" s="7"/>
      <c r="Q43" s="7"/>
      <c r="R43" s="7"/>
      <c r="S43" s="7"/>
    </row>
    <row r="44" customFormat="false" ht="23.25" hidden="false" customHeight="true" outlineLevel="0" collapsed="false">
      <c r="C44" s="18" t="s">
        <v>1466</v>
      </c>
      <c r="D44" s="14"/>
      <c r="E44" s="14"/>
      <c r="F44" s="14"/>
      <c r="G44" s="18" t="s">
        <v>1467</v>
      </c>
      <c r="H44" s="7"/>
      <c r="I44" s="7"/>
      <c r="J44" s="7"/>
      <c r="K44" s="7"/>
      <c r="L44" s="7"/>
      <c r="M44" s="7"/>
      <c r="N44" s="7"/>
      <c r="O44" s="7"/>
      <c r="P44" s="7"/>
      <c r="Q44" s="7"/>
      <c r="R44" s="7"/>
      <c r="S44" s="7"/>
    </row>
    <row r="45" customFormat="false" ht="23.25" hidden="false" customHeight="true" outlineLevel="0" collapsed="false">
      <c r="C45" s="18" t="s">
        <v>1167</v>
      </c>
      <c r="D45" s="13"/>
      <c r="E45" s="13"/>
      <c r="F45" s="13"/>
      <c r="G45" s="18" t="s">
        <v>1468</v>
      </c>
      <c r="H45" s="7"/>
      <c r="I45" s="7"/>
      <c r="J45" s="7"/>
      <c r="K45" s="7"/>
      <c r="L45" s="7"/>
      <c r="M45" s="7"/>
      <c r="N45" s="7"/>
      <c r="O45" s="7"/>
      <c r="P45" s="7"/>
      <c r="Q45" s="7"/>
      <c r="R45" s="7"/>
      <c r="S45" s="7"/>
    </row>
    <row r="46" customFormat="false" ht="23.25" hidden="false" customHeight="true" outlineLevel="0" collapsed="false">
      <c r="C46" s="18" t="s">
        <v>1469</v>
      </c>
      <c r="D46" s="14"/>
      <c r="E46" s="14"/>
      <c r="F46" s="14"/>
      <c r="G46" s="18" t="s">
        <v>1470</v>
      </c>
      <c r="H46" s="7"/>
      <c r="I46" s="7"/>
      <c r="J46" s="7"/>
      <c r="K46" s="7"/>
      <c r="L46" s="7"/>
      <c r="M46" s="7"/>
      <c r="N46" s="7"/>
      <c r="O46" s="7"/>
      <c r="P46" s="7"/>
      <c r="Q46" s="7"/>
      <c r="R46" s="7"/>
      <c r="S46" s="7"/>
    </row>
    <row r="47" customFormat="false" ht="23.25" hidden="false" customHeight="true" outlineLevel="0" collapsed="false">
      <c r="C47" s="18" t="s">
        <v>1471</v>
      </c>
      <c r="D47" s="14"/>
      <c r="E47" s="14"/>
      <c r="F47" s="14"/>
      <c r="G47" s="18" t="s">
        <v>1472</v>
      </c>
      <c r="H47" s="7"/>
      <c r="I47" s="7"/>
      <c r="J47" s="7"/>
      <c r="K47" s="7"/>
      <c r="L47" s="7"/>
      <c r="M47" s="7"/>
      <c r="N47" s="7"/>
      <c r="O47" s="7"/>
      <c r="P47" s="7"/>
      <c r="Q47" s="7"/>
      <c r="R47" s="7"/>
      <c r="S47" s="7"/>
    </row>
    <row r="48" customFormat="false" ht="23.25" hidden="false" customHeight="true" outlineLevel="0" collapsed="false">
      <c r="C48" s="18" t="s">
        <v>1473</v>
      </c>
      <c r="D48" s="14"/>
      <c r="E48" s="14"/>
      <c r="F48" s="14"/>
      <c r="G48" s="18" t="s">
        <v>1474</v>
      </c>
      <c r="H48" s="7"/>
      <c r="I48" s="7"/>
      <c r="J48" s="7"/>
      <c r="K48" s="7"/>
      <c r="L48" s="7"/>
      <c r="M48" s="7"/>
      <c r="N48" s="7"/>
      <c r="O48" s="7"/>
      <c r="P48" s="7"/>
      <c r="Q48" s="7"/>
      <c r="R48" s="7"/>
      <c r="S48" s="7"/>
    </row>
    <row r="49" customFormat="false" ht="23.25" hidden="false" customHeight="true" outlineLevel="0" collapsed="false">
      <c r="C49" s="18" t="s">
        <v>1475</v>
      </c>
      <c r="D49" s="14"/>
      <c r="E49" s="14"/>
      <c r="F49" s="14"/>
      <c r="G49" s="18" t="s">
        <v>1476</v>
      </c>
      <c r="H49" s="7"/>
      <c r="I49" s="7"/>
      <c r="J49" s="7"/>
      <c r="K49" s="7"/>
      <c r="L49" s="7"/>
      <c r="M49" s="7"/>
      <c r="N49" s="7"/>
      <c r="O49" s="7"/>
      <c r="P49" s="7"/>
      <c r="Q49" s="7"/>
      <c r="R49" s="7"/>
      <c r="S49" s="7"/>
    </row>
    <row r="50" customFormat="false" ht="23.25" hidden="false" customHeight="true" outlineLevel="0" collapsed="false">
      <c r="C50" s="18" t="s">
        <v>1477</v>
      </c>
      <c r="D50" s="14"/>
      <c r="E50" s="14"/>
      <c r="F50" s="14"/>
      <c r="G50" s="18" t="s">
        <v>1478</v>
      </c>
      <c r="H50" s="7"/>
      <c r="I50" s="7"/>
      <c r="J50" s="7"/>
      <c r="K50" s="7"/>
      <c r="L50" s="7"/>
      <c r="M50" s="7"/>
      <c r="N50" s="7"/>
      <c r="O50" s="7"/>
      <c r="P50" s="7"/>
      <c r="Q50" s="7"/>
      <c r="R50" s="7"/>
      <c r="S50" s="7"/>
    </row>
    <row r="51" customFormat="false" ht="38.25" hidden="false" customHeight="false" outlineLevel="0" collapsed="false">
      <c r="C51" s="18" t="s">
        <v>1479</v>
      </c>
      <c r="D51" s="14"/>
      <c r="E51" s="14"/>
      <c r="F51" s="14"/>
      <c r="G51" s="18" t="s">
        <v>1480</v>
      </c>
      <c r="H51" s="7"/>
      <c r="I51" s="7"/>
      <c r="J51" s="7"/>
      <c r="K51" s="7"/>
      <c r="L51" s="7"/>
      <c r="M51" s="7"/>
      <c r="N51" s="7"/>
      <c r="O51" s="7"/>
      <c r="P51" s="7"/>
      <c r="Q51" s="7"/>
      <c r="R51" s="7"/>
      <c r="S51" s="7"/>
    </row>
    <row r="52" customFormat="false" ht="25.5" hidden="false" customHeight="false" outlineLevel="0" collapsed="false">
      <c r="C52" s="18" t="s">
        <v>1481</v>
      </c>
      <c r="D52" s="14"/>
      <c r="E52" s="14"/>
      <c r="F52" s="14"/>
      <c r="G52" s="18" t="s">
        <v>1482</v>
      </c>
      <c r="H52" s="7"/>
      <c r="I52" s="7"/>
      <c r="J52" s="7"/>
      <c r="K52" s="7"/>
      <c r="L52" s="7"/>
      <c r="M52" s="7"/>
      <c r="N52" s="7"/>
      <c r="O52" s="7"/>
      <c r="P52" s="7"/>
      <c r="Q52" s="7"/>
      <c r="R52" s="7"/>
      <c r="S52" s="7"/>
    </row>
    <row r="53" customFormat="false" ht="25.5" hidden="false" customHeight="false" outlineLevel="0" collapsed="false">
      <c r="C53" s="18" t="s">
        <v>1483</v>
      </c>
      <c r="D53" s="14"/>
      <c r="E53" s="14"/>
      <c r="F53" s="14"/>
      <c r="G53" s="18" t="s">
        <v>1484</v>
      </c>
      <c r="H53" s="7"/>
      <c r="I53" s="7"/>
      <c r="J53" s="7"/>
      <c r="K53" s="7"/>
      <c r="L53" s="7"/>
      <c r="M53" s="7"/>
      <c r="N53" s="7"/>
      <c r="O53" s="7"/>
      <c r="P53" s="7"/>
      <c r="Q53" s="7"/>
      <c r="R53" s="7"/>
      <c r="S53" s="7"/>
    </row>
    <row r="54" customFormat="false" ht="25.5" hidden="false" customHeight="false" outlineLevel="0" collapsed="false">
      <c r="C54" s="18" t="s">
        <v>1485</v>
      </c>
      <c r="D54" s="13"/>
      <c r="E54" s="13"/>
      <c r="F54" s="13"/>
      <c r="G54" s="18" t="s">
        <v>1486</v>
      </c>
      <c r="H54" s="7"/>
      <c r="I54" s="7"/>
      <c r="J54" s="7"/>
      <c r="K54" s="7"/>
      <c r="L54" s="7"/>
      <c r="M54" s="7"/>
      <c r="N54" s="7"/>
      <c r="O54" s="7"/>
      <c r="P54" s="7"/>
      <c r="Q54" s="7"/>
      <c r="R54" s="7"/>
      <c r="S54" s="7"/>
    </row>
    <row r="55" customFormat="false" ht="38.25" hidden="false" customHeight="false" outlineLevel="0" collapsed="false">
      <c r="C55" s="18" t="s">
        <v>1487</v>
      </c>
      <c r="D55" s="16"/>
      <c r="E55" s="16"/>
      <c r="F55" s="16"/>
      <c r="G55" s="18" t="s">
        <v>1488</v>
      </c>
      <c r="H55" s="7"/>
      <c r="I55" s="7"/>
      <c r="J55" s="7"/>
      <c r="K55" s="7"/>
      <c r="L55" s="7"/>
      <c r="M55" s="7"/>
      <c r="N55" s="7"/>
      <c r="O55" s="7"/>
      <c r="P55" s="7"/>
      <c r="Q55" s="7"/>
      <c r="R55" s="7"/>
      <c r="S55" s="7"/>
    </row>
    <row r="56" customFormat="false" ht="25.5" hidden="false" customHeight="false" outlineLevel="0" collapsed="false">
      <c r="C56" s="18" t="s">
        <v>1489</v>
      </c>
      <c r="D56" s="16"/>
      <c r="E56" s="16"/>
      <c r="F56" s="16"/>
      <c r="G56" s="18" t="s">
        <v>1490</v>
      </c>
      <c r="H56" s="7"/>
      <c r="I56" s="7"/>
      <c r="J56" s="7"/>
      <c r="K56" s="7"/>
      <c r="L56" s="7"/>
      <c r="M56" s="7"/>
      <c r="N56" s="7"/>
      <c r="O56" s="7"/>
      <c r="P56" s="7"/>
      <c r="Q56" s="7"/>
      <c r="R56" s="7"/>
      <c r="S56" s="7"/>
    </row>
    <row r="57" customFormat="false" ht="25.5" hidden="false" customHeight="false" outlineLevel="0" collapsed="false">
      <c r="C57" s="18" t="s">
        <v>1491</v>
      </c>
      <c r="D57" s="16"/>
      <c r="E57" s="16"/>
      <c r="F57" s="16"/>
      <c r="G57" s="18" t="s">
        <v>1492</v>
      </c>
      <c r="H57" s="7"/>
      <c r="I57" s="7"/>
      <c r="J57" s="7"/>
      <c r="K57" s="7"/>
      <c r="L57" s="7"/>
      <c r="M57" s="7"/>
      <c r="N57" s="7"/>
      <c r="O57" s="7"/>
      <c r="P57" s="7"/>
      <c r="Q57" s="7"/>
      <c r="R57" s="7"/>
      <c r="S57" s="7"/>
    </row>
    <row r="58" customFormat="false" ht="25.5" hidden="false" customHeight="false" outlineLevel="0" collapsed="false">
      <c r="C58" s="18" t="s">
        <v>1493</v>
      </c>
      <c r="D58" s="14"/>
      <c r="E58" s="14"/>
      <c r="F58" s="14"/>
      <c r="G58" s="18" t="s">
        <v>1494</v>
      </c>
      <c r="H58" s="7"/>
      <c r="I58" s="7"/>
      <c r="J58" s="7"/>
      <c r="K58" s="7"/>
      <c r="L58" s="7"/>
      <c r="M58" s="7"/>
      <c r="N58" s="7"/>
      <c r="O58" s="7"/>
      <c r="P58" s="7"/>
      <c r="Q58" s="7"/>
      <c r="R58" s="7"/>
      <c r="S58" s="7"/>
    </row>
    <row r="59" customFormat="false" ht="38.25" hidden="false" customHeight="false" outlineLevel="0" collapsed="false">
      <c r="C59" s="18" t="s">
        <v>1495</v>
      </c>
      <c r="D59" s="16"/>
      <c r="E59" s="16"/>
      <c r="F59" s="16"/>
      <c r="G59" s="18" t="s">
        <v>1496</v>
      </c>
      <c r="H59" s="7"/>
      <c r="I59" s="7"/>
      <c r="J59" s="7"/>
      <c r="K59" s="7"/>
      <c r="L59" s="7"/>
      <c r="M59" s="7"/>
      <c r="N59" s="7"/>
      <c r="O59" s="7"/>
      <c r="P59" s="7"/>
      <c r="Q59" s="7"/>
      <c r="R59" s="7"/>
      <c r="S59" s="7"/>
    </row>
    <row r="60" customFormat="false" ht="25.5" hidden="false" customHeight="false" outlineLevel="0" collapsed="false">
      <c r="C60" s="18" t="s">
        <v>1497</v>
      </c>
      <c r="D60" s="13"/>
      <c r="E60" s="13"/>
      <c r="F60" s="13"/>
      <c r="G60" s="7"/>
      <c r="H60" s="7"/>
      <c r="I60" s="7"/>
      <c r="J60" s="7"/>
      <c r="K60" s="7"/>
      <c r="L60" s="7"/>
      <c r="M60" s="7"/>
      <c r="N60" s="7"/>
      <c r="O60" s="7"/>
      <c r="P60" s="7"/>
      <c r="Q60" s="7"/>
      <c r="R60" s="7"/>
      <c r="S60" s="7"/>
    </row>
    <row r="61" customFormat="false" ht="38.25" hidden="false" customHeight="false" outlineLevel="0" collapsed="false">
      <c r="C61" s="18" t="s">
        <v>1498</v>
      </c>
      <c r="D61" s="14"/>
      <c r="E61" s="14"/>
      <c r="F61" s="14"/>
      <c r="G61" s="7"/>
      <c r="H61" s="7"/>
      <c r="I61" s="7"/>
      <c r="J61" s="7"/>
      <c r="K61" s="7"/>
      <c r="L61" s="7"/>
      <c r="M61" s="7"/>
      <c r="N61" s="7"/>
      <c r="O61" s="7"/>
      <c r="P61" s="7"/>
      <c r="Q61" s="7"/>
      <c r="R61" s="7"/>
      <c r="S61" s="7"/>
    </row>
    <row r="62" customFormat="false" ht="38.25" hidden="false" customHeight="false" outlineLevel="0" collapsed="false">
      <c r="C62" s="18" t="s">
        <v>1499</v>
      </c>
      <c r="D62" s="14"/>
      <c r="E62" s="14"/>
      <c r="F62" s="14"/>
      <c r="G62" s="7"/>
      <c r="H62" s="7"/>
      <c r="I62" s="7"/>
      <c r="J62" s="7"/>
      <c r="K62" s="7"/>
      <c r="L62" s="7"/>
      <c r="M62" s="7"/>
      <c r="N62" s="7"/>
      <c r="O62" s="7"/>
      <c r="P62" s="7"/>
      <c r="Q62" s="7"/>
      <c r="R62" s="7"/>
      <c r="S62" s="7"/>
    </row>
    <row r="63" customFormat="false" ht="25.5" hidden="false" customHeight="false" outlineLevel="0" collapsed="false">
      <c r="C63" s="18" t="s">
        <v>1500</v>
      </c>
      <c r="D63" s="14"/>
      <c r="E63" s="14"/>
      <c r="F63" s="14"/>
    </row>
    <row r="64" customFormat="false" ht="25.5" hidden="false" customHeight="false" outlineLevel="0" collapsed="false">
      <c r="C64" s="18" t="s">
        <v>1501</v>
      </c>
      <c r="D64" s="14"/>
      <c r="E64" s="14"/>
      <c r="F64" s="14"/>
    </row>
    <row r="65" customFormat="false" ht="51" hidden="false" customHeight="false" outlineLevel="0" collapsed="false">
      <c r="C65" s="18" t="s">
        <v>1502</v>
      </c>
      <c r="D65" s="14"/>
      <c r="E65" s="14"/>
      <c r="F65" s="14"/>
    </row>
    <row r="66" customFormat="false" ht="25.5" hidden="false" customHeight="false" outlineLevel="0" collapsed="false">
      <c r="C66" s="18" t="s">
        <v>1503</v>
      </c>
      <c r="D66" s="14"/>
      <c r="E66" s="14"/>
      <c r="F66" s="14"/>
      <c r="G66" s="14"/>
      <c r="H66" s="14"/>
      <c r="I66" s="14"/>
      <c r="J66" s="14"/>
      <c r="K66" s="14"/>
      <c r="L66" s="14"/>
      <c r="M66" s="14"/>
      <c r="N66" s="14"/>
      <c r="O66" s="14"/>
      <c r="P66" s="14"/>
      <c r="Q66" s="14"/>
      <c r="R66" s="14"/>
      <c r="S66" s="14"/>
    </row>
    <row r="67" customFormat="false" ht="15" hidden="false" customHeight="false" outlineLevel="0" collapsed="false">
      <c r="C67" s="18" t="s">
        <v>1504</v>
      </c>
      <c r="D67" s="14"/>
      <c r="E67" s="14"/>
      <c r="F67" s="14"/>
      <c r="G67" s="14"/>
      <c r="H67" s="14"/>
      <c r="I67" s="14"/>
      <c r="J67" s="14"/>
      <c r="K67" s="14"/>
      <c r="L67" s="14"/>
      <c r="M67" s="14"/>
      <c r="N67" s="14"/>
      <c r="O67" s="14"/>
      <c r="P67" s="14"/>
      <c r="Q67" s="14"/>
      <c r="R67" s="14"/>
      <c r="S67" s="14"/>
    </row>
    <row r="68" customFormat="false" ht="38.25" hidden="false" customHeight="false" outlineLevel="0" collapsed="false">
      <c r="C68" s="18" t="s">
        <v>1505</v>
      </c>
      <c r="D68" s="14"/>
      <c r="E68" s="14"/>
      <c r="F68" s="14"/>
      <c r="G68" s="14"/>
      <c r="H68" s="14"/>
      <c r="I68" s="14"/>
      <c r="J68" s="14"/>
      <c r="K68" s="14"/>
      <c r="L68" s="14"/>
      <c r="M68" s="14"/>
      <c r="N68" s="14"/>
      <c r="O68" s="14"/>
      <c r="P68" s="14"/>
      <c r="Q68" s="14"/>
      <c r="R68" s="14"/>
      <c r="S68" s="14"/>
    </row>
    <row r="69" customFormat="false" ht="25.5" hidden="false" customHeight="false" outlineLevel="0" collapsed="false">
      <c r="C69" s="18" t="s">
        <v>1506</v>
      </c>
      <c r="D69" s="14"/>
      <c r="E69" s="14"/>
      <c r="F69" s="14"/>
      <c r="G69" s="14"/>
      <c r="H69" s="14"/>
      <c r="I69" s="14"/>
      <c r="J69" s="14"/>
      <c r="K69" s="14"/>
      <c r="L69" s="14"/>
      <c r="M69" s="14"/>
      <c r="N69" s="14"/>
      <c r="O69" s="14"/>
      <c r="P69" s="14"/>
      <c r="Q69" s="14"/>
      <c r="R69" s="14"/>
      <c r="S69" s="14"/>
    </row>
    <row r="70" customFormat="false" ht="25.5" hidden="false" customHeight="false" outlineLevel="0" collapsed="false">
      <c r="C70" s="18" t="s">
        <v>1507</v>
      </c>
      <c r="D70" s="13"/>
      <c r="E70" s="13"/>
      <c r="F70" s="13"/>
      <c r="G70" s="13"/>
      <c r="H70" s="13"/>
      <c r="I70" s="13"/>
      <c r="J70" s="13"/>
      <c r="K70" s="13"/>
      <c r="L70" s="13"/>
      <c r="M70" s="13"/>
      <c r="N70" s="13"/>
      <c r="O70" s="13"/>
      <c r="P70" s="13"/>
      <c r="Q70" s="13"/>
      <c r="R70" s="13"/>
      <c r="S70" s="13"/>
    </row>
    <row r="71" customFormat="false" ht="25.5" hidden="false" customHeight="false" outlineLevel="0" collapsed="false">
      <c r="C71" s="18" t="s">
        <v>1508</v>
      </c>
      <c r="D71" s="14"/>
      <c r="E71" s="14"/>
      <c r="F71" s="14"/>
      <c r="G71" s="14"/>
      <c r="H71" s="14"/>
      <c r="I71" s="14"/>
      <c r="J71" s="14"/>
      <c r="K71" s="14"/>
      <c r="L71" s="14"/>
      <c r="M71" s="14"/>
      <c r="N71" s="14"/>
      <c r="O71" s="14"/>
      <c r="P71" s="14"/>
      <c r="Q71" s="14"/>
      <c r="R71" s="14"/>
      <c r="S71" s="14"/>
    </row>
    <row r="72" customFormat="false" ht="25.5" hidden="false" customHeight="false" outlineLevel="0" collapsed="false">
      <c r="C72" s="18" t="s">
        <v>1509</v>
      </c>
      <c r="D72" s="14"/>
      <c r="E72" s="14"/>
      <c r="F72" s="14"/>
      <c r="G72" s="14"/>
      <c r="H72" s="14"/>
      <c r="I72" s="14"/>
      <c r="J72" s="14"/>
      <c r="K72" s="14"/>
      <c r="L72" s="14"/>
      <c r="M72" s="14"/>
      <c r="N72" s="14"/>
      <c r="O72" s="14"/>
      <c r="P72" s="14"/>
      <c r="Q72" s="14"/>
      <c r="R72" s="14"/>
      <c r="S72" s="14"/>
    </row>
    <row r="73" customFormat="false" ht="25.5" hidden="false" customHeight="false" outlineLevel="0" collapsed="false">
      <c r="C73" s="18" t="s">
        <v>1170</v>
      </c>
      <c r="D73" s="14"/>
      <c r="E73" s="14"/>
      <c r="F73" s="14"/>
      <c r="G73" s="14"/>
      <c r="H73" s="14"/>
      <c r="I73" s="14"/>
      <c r="J73" s="14"/>
      <c r="K73" s="14"/>
      <c r="L73" s="14"/>
      <c r="M73" s="14"/>
      <c r="N73" s="14"/>
      <c r="O73" s="14"/>
      <c r="P73" s="14"/>
      <c r="Q73" s="14"/>
      <c r="R73" s="14"/>
      <c r="S73" s="14"/>
    </row>
    <row r="74" customFormat="false" ht="25.5" hidden="false" customHeight="false" outlineLevel="0" collapsed="false">
      <c r="C74" s="18" t="s">
        <v>1510</v>
      </c>
      <c r="D74" s="14"/>
      <c r="E74" s="14"/>
      <c r="F74" s="14"/>
      <c r="G74" s="14"/>
      <c r="H74" s="14"/>
      <c r="I74" s="14"/>
      <c r="J74" s="14"/>
      <c r="K74" s="14"/>
      <c r="L74" s="14"/>
      <c r="M74" s="14"/>
      <c r="N74" s="14"/>
      <c r="O74" s="14"/>
      <c r="P74" s="14"/>
      <c r="Q74" s="14"/>
      <c r="R74" s="14"/>
      <c r="S74" s="14"/>
    </row>
    <row r="75" customFormat="false" ht="25.5" hidden="false" customHeight="false" outlineLevel="0" collapsed="false">
      <c r="C75" s="22" t="s">
        <v>1511</v>
      </c>
      <c r="D75" s="14"/>
      <c r="E75" s="14"/>
      <c r="F75" s="14"/>
      <c r="G75" s="14"/>
      <c r="H75" s="14"/>
      <c r="I75" s="14"/>
      <c r="J75" s="14"/>
      <c r="K75" s="14"/>
      <c r="L75" s="14"/>
      <c r="M75" s="14"/>
      <c r="N75" s="14"/>
      <c r="O75" s="14"/>
      <c r="P75" s="14"/>
      <c r="Q75" s="14"/>
      <c r="R75" s="14"/>
      <c r="S75" s="14"/>
    </row>
    <row r="76" customFormat="false" ht="25.5" hidden="false" customHeight="false" outlineLevel="0" collapsed="false">
      <c r="C76" s="22" t="s">
        <v>1512</v>
      </c>
      <c r="D76" s="14"/>
      <c r="E76" s="14"/>
      <c r="F76" s="14"/>
      <c r="G76" s="14"/>
      <c r="H76" s="14"/>
      <c r="I76" s="14"/>
      <c r="J76" s="14"/>
      <c r="K76" s="14"/>
      <c r="L76" s="14"/>
      <c r="M76" s="14"/>
      <c r="N76" s="14"/>
      <c r="O76" s="14"/>
      <c r="P76" s="14"/>
      <c r="Q76" s="14"/>
      <c r="R76" s="14"/>
      <c r="S76" s="14"/>
    </row>
    <row r="77" customFormat="false" ht="25.5" hidden="false" customHeight="false" outlineLevel="0" collapsed="false">
      <c r="C77" s="18" t="s">
        <v>1176</v>
      </c>
      <c r="D77" s="14"/>
      <c r="E77" s="14"/>
      <c r="F77" s="14"/>
      <c r="G77" s="14"/>
      <c r="H77" s="14"/>
      <c r="I77" s="14"/>
      <c r="J77" s="14"/>
      <c r="K77" s="14"/>
      <c r="L77" s="14"/>
      <c r="M77" s="14"/>
      <c r="N77" s="14"/>
      <c r="O77" s="14"/>
      <c r="P77" s="14"/>
      <c r="Q77" s="14"/>
      <c r="R77" s="14"/>
      <c r="S77" s="14"/>
    </row>
    <row r="78" customFormat="false" ht="25.5" hidden="false" customHeight="false" outlineLevel="0" collapsed="false">
      <c r="C78" s="23" t="s">
        <v>1513</v>
      </c>
      <c r="D78" s="14"/>
      <c r="E78" s="14"/>
      <c r="F78" s="14"/>
      <c r="G78" s="14"/>
      <c r="H78" s="14"/>
      <c r="I78" s="14"/>
      <c r="J78" s="14"/>
      <c r="K78" s="14"/>
      <c r="L78" s="14"/>
      <c r="M78" s="14"/>
      <c r="N78" s="14"/>
      <c r="O78" s="14"/>
      <c r="P78" s="14"/>
      <c r="Q78" s="14"/>
      <c r="R78" s="14"/>
      <c r="S78" s="14"/>
    </row>
    <row r="79" customFormat="false" ht="25.5" hidden="false" customHeight="false" outlineLevel="0" collapsed="false">
      <c r="C79" s="18" t="s">
        <v>1514</v>
      </c>
      <c r="D79" s="14"/>
      <c r="E79" s="14"/>
      <c r="F79" s="14"/>
      <c r="G79" s="14"/>
      <c r="H79" s="14"/>
      <c r="I79" s="14"/>
      <c r="J79" s="14"/>
      <c r="K79" s="14"/>
      <c r="L79" s="14"/>
      <c r="M79" s="14"/>
      <c r="N79" s="14"/>
      <c r="O79" s="14"/>
      <c r="P79" s="14"/>
      <c r="Q79" s="14"/>
      <c r="R79" s="14"/>
      <c r="S79" s="14"/>
    </row>
    <row r="80" customFormat="false" ht="25.5" hidden="false" customHeight="false" outlineLevel="0" collapsed="false">
      <c r="C80" s="18" t="s">
        <v>1515</v>
      </c>
      <c r="D80" s="17"/>
      <c r="E80" s="17"/>
      <c r="F80" s="17"/>
      <c r="G80" s="17"/>
      <c r="H80" s="17"/>
      <c r="I80" s="17"/>
      <c r="J80" s="17"/>
      <c r="K80" s="17"/>
      <c r="L80" s="17"/>
      <c r="M80" s="17"/>
      <c r="N80" s="17"/>
      <c r="O80" s="17"/>
      <c r="P80" s="17"/>
      <c r="Q80" s="17"/>
      <c r="R80" s="17"/>
      <c r="S80" s="17"/>
    </row>
    <row r="81" customFormat="false" ht="25.5" hidden="false" customHeight="false" outlineLevel="0" collapsed="false">
      <c r="C81" s="18" t="s">
        <v>1516</v>
      </c>
      <c r="D81" s="17"/>
      <c r="E81" s="17"/>
      <c r="F81" s="17"/>
      <c r="G81" s="17"/>
      <c r="H81" s="17"/>
      <c r="I81" s="17"/>
      <c r="J81" s="17"/>
      <c r="K81" s="17"/>
      <c r="L81" s="17"/>
      <c r="M81" s="17"/>
      <c r="N81" s="17"/>
      <c r="O81" s="17"/>
      <c r="P81" s="17"/>
      <c r="Q81" s="17"/>
      <c r="R81" s="17"/>
      <c r="S81" s="17"/>
    </row>
    <row r="82" customFormat="false" ht="15" hidden="false" customHeight="false" outlineLevel="0" collapsed="false">
      <c r="C82" s="18" t="s">
        <v>1517</v>
      </c>
      <c r="D82" s="13"/>
      <c r="E82" s="13"/>
      <c r="F82" s="13"/>
      <c r="G82" s="13"/>
      <c r="H82" s="13"/>
      <c r="I82" s="13"/>
      <c r="J82" s="13"/>
      <c r="K82" s="13"/>
      <c r="L82" s="13"/>
      <c r="M82" s="13"/>
      <c r="N82" s="13"/>
      <c r="O82" s="13"/>
      <c r="P82" s="13"/>
      <c r="Q82" s="13"/>
      <c r="R82" s="13"/>
      <c r="S82" s="13"/>
    </row>
    <row r="83" customFormat="false" ht="15" hidden="false" customHeight="false" outlineLevel="0" collapsed="false">
      <c r="C83" s="18" t="s">
        <v>1518</v>
      </c>
      <c r="D83" s="14"/>
      <c r="E83" s="14"/>
      <c r="F83" s="14"/>
      <c r="G83" s="14"/>
      <c r="H83" s="14"/>
      <c r="I83" s="14"/>
      <c r="J83" s="14"/>
      <c r="K83" s="14"/>
      <c r="L83" s="14"/>
      <c r="M83" s="14"/>
      <c r="N83" s="14"/>
      <c r="O83" s="14"/>
      <c r="P83" s="14"/>
      <c r="Q83" s="14"/>
      <c r="R83" s="14"/>
      <c r="S83" s="14"/>
    </row>
    <row r="84" customFormat="false" ht="25.5" hidden="false" customHeight="false" outlineLevel="0" collapsed="false">
      <c r="C84" s="18" t="s">
        <v>1519</v>
      </c>
      <c r="D84" s="14"/>
      <c r="E84" s="14"/>
      <c r="F84" s="14"/>
      <c r="G84" s="14"/>
      <c r="H84" s="14"/>
      <c r="I84" s="14"/>
      <c r="J84" s="14"/>
      <c r="K84" s="14"/>
      <c r="L84" s="14"/>
      <c r="M84" s="14"/>
      <c r="N84" s="14"/>
      <c r="O84" s="14"/>
      <c r="P84" s="14"/>
      <c r="Q84" s="14"/>
      <c r="R84" s="14"/>
      <c r="S84" s="14"/>
    </row>
    <row r="85" customFormat="false" ht="51" hidden="false" customHeight="false" outlineLevel="0" collapsed="false">
      <c r="C85" s="18" t="s">
        <v>1520</v>
      </c>
      <c r="D85" s="14"/>
      <c r="E85" s="14"/>
      <c r="F85" s="14"/>
      <c r="G85" s="14"/>
      <c r="H85" s="14"/>
      <c r="I85" s="14"/>
      <c r="J85" s="14"/>
      <c r="K85" s="14"/>
      <c r="L85" s="14"/>
      <c r="M85" s="14"/>
      <c r="N85" s="14"/>
      <c r="O85" s="14"/>
      <c r="P85" s="14"/>
      <c r="Q85" s="14"/>
      <c r="R85" s="14"/>
      <c r="S85" s="14"/>
    </row>
    <row r="86" customFormat="false" ht="38.25" hidden="false" customHeight="false" outlineLevel="0" collapsed="false">
      <c r="C86" s="18" t="s">
        <v>1521</v>
      </c>
      <c r="D86" s="14"/>
      <c r="E86" s="14"/>
      <c r="F86" s="14"/>
      <c r="G86" s="14"/>
      <c r="H86" s="14"/>
      <c r="I86" s="14"/>
      <c r="J86" s="14"/>
      <c r="K86" s="14"/>
      <c r="L86" s="14"/>
      <c r="M86" s="14"/>
      <c r="N86" s="14"/>
      <c r="O86" s="14"/>
      <c r="P86" s="14"/>
      <c r="Q86" s="14"/>
      <c r="R86" s="14"/>
      <c r="S86" s="14"/>
    </row>
    <row r="87" customFormat="false" ht="25.5" hidden="false" customHeight="false" outlineLevel="0" collapsed="false">
      <c r="C87" s="18" t="s">
        <v>1522</v>
      </c>
      <c r="D87" s="13"/>
      <c r="E87" s="13"/>
      <c r="F87" s="13"/>
      <c r="G87" s="13"/>
      <c r="H87" s="13"/>
      <c r="I87" s="13"/>
      <c r="J87" s="13"/>
      <c r="K87" s="13"/>
      <c r="L87" s="13"/>
      <c r="M87" s="13"/>
      <c r="N87" s="13"/>
      <c r="O87" s="13"/>
      <c r="P87" s="13"/>
      <c r="Q87" s="13"/>
      <c r="R87" s="13"/>
      <c r="S87" s="13"/>
    </row>
    <row r="88" customFormat="false" ht="25.5" hidden="false" customHeight="false" outlineLevel="0" collapsed="false">
      <c r="C88" s="18" t="s">
        <v>1523</v>
      </c>
      <c r="D88" s="14"/>
      <c r="E88" s="14"/>
      <c r="F88" s="14"/>
      <c r="G88" s="14"/>
      <c r="H88" s="14"/>
      <c r="I88" s="14"/>
      <c r="J88" s="14"/>
      <c r="K88" s="14"/>
      <c r="L88" s="14"/>
      <c r="M88" s="14"/>
      <c r="N88" s="14"/>
      <c r="O88" s="14"/>
      <c r="P88" s="14"/>
      <c r="Q88" s="14"/>
      <c r="R88" s="14"/>
      <c r="S88" s="14"/>
    </row>
    <row r="89" customFormat="false" ht="25.5" hidden="false" customHeight="false" outlineLevel="0" collapsed="false">
      <c r="C89" s="18" t="s">
        <v>1524</v>
      </c>
      <c r="D89" s="14"/>
      <c r="E89" s="14"/>
      <c r="F89" s="14"/>
      <c r="G89" s="14"/>
      <c r="H89" s="14"/>
      <c r="I89" s="14"/>
      <c r="J89" s="14"/>
      <c r="K89" s="14"/>
      <c r="L89" s="14"/>
      <c r="M89" s="14"/>
      <c r="N89" s="14"/>
      <c r="O89" s="14"/>
      <c r="P89" s="14"/>
      <c r="Q89" s="14"/>
      <c r="R89" s="14"/>
      <c r="S89" s="14"/>
    </row>
    <row r="90" customFormat="false" ht="38.25" hidden="false" customHeight="false" outlineLevel="0" collapsed="false">
      <c r="C90" s="18" t="s">
        <v>1525</v>
      </c>
      <c r="D90" s="14"/>
      <c r="E90" s="14"/>
      <c r="F90" s="14"/>
      <c r="G90" s="14"/>
      <c r="H90" s="14"/>
      <c r="I90" s="14"/>
      <c r="J90" s="14"/>
      <c r="K90" s="14"/>
      <c r="L90" s="14"/>
      <c r="M90" s="14"/>
      <c r="N90" s="14"/>
      <c r="O90" s="14"/>
      <c r="P90" s="14"/>
      <c r="Q90" s="14"/>
      <c r="R90" s="14"/>
      <c r="S90" s="14"/>
    </row>
    <row r="91" customFormat="false" ht="25.5" hidden="false" customHeight="false" outlineLevel="0" collapsed="false">
      <c r="C91" s="18" t="s">
        <v>1526</v>
      </c>
      <c r="D91" s="14"/>
      <c r="E91" s="14"/>
      <c r="F91" s="14"/>
      <c r="G91" s="14"/>
      <c r="H91" s="14"/>
      <c r="I91" s="14"/>
      <c r="J91" s="14"/>
      <c r="K91" s="14"/>
      <c r="L91" s="14"/>
      <c r="M91" s="14"/>
      <c r="N91" s="14"/>
      <c r="O91" s="14"/>
      <c r="P91" s="14"/>
      <c r="Q91" s="14"/>
      <c r="R91" s="14"/>
      <c r="S91" s="14"/>
    </row>
    <row r="92" customFormat="false" ht="25.5" hidden="false" customHeight="false" outlineLevel="0" collapsed="false">
      <c r="C92" s="18" t="s">
        <v>1527</v>
      </c>
      <c r="D92" s="14"/>
      <c r="E92" s="14"/>
      <c r="F92" s="14"/>
      <c r="G92" s="14"/>
      <c r="H92" s="14"/>
      <c r="I92" s="14"/>
      <c r="J92" s="14"/>
      <c r="K92" s="14"/>
      <c r="L92" s="14"/>
      <c r="M92" s="14"/>
      <c r="N92" s="14"/>
      <c r="O92" s="14"/>
      <c r="P92" s="14"/>
      <c r="Q92" s="14"/>
      <c r="R92" s="14"/>
      <c r="S92" s="14"/>
    </row>
    <row r="93" customFormat="false" ht="25.5" hidden="false" customHeight="false" outlineLevel="0" collapsed="false">
      <c r="C93" s="18" t="s">
        <v>1528</v>
      </c>
      <c r="D93" s="14"/>
      <c r="E93" s="14"/>
      <c r="F93" s="14"/>
      <c r="G93" s="14"/>
      <c r="H93" s="14"/>
      <c r="I93" s="14"/>
      <c r="J93" s="14"/>
      <c r="K93" s="14"/>
      <c r="L93" s="14"/>
      <c r="M93" s="14"/>
      <c r="N93" s="14"/>
      <c r="O93" s="14"/>
      <c r="P93" s="14"/>
      <c r="Q93" s="14"/>
      <c r="R93" s="14"/>
      <c r="S93" s="14"/>
    </row>
    <row r="94" customFormat="false" ht="25.5" hidden="false" customHeight="false" outlineLevel="0" collapsed="false">
      <c r="C94" s="18" t="s">
        <v>1529</v>
      </c>
      <c r="D94" s="14"/>
      <c r="E94" s="14"/>
      <c r="F94" s="14"/>
      <c r="G94" s="14"/>
      <c r="H94" s="14"/>
      <c r="I94" s="14"/>
      <c r="J94" s="14"/>
      <c r="K94" s="14"/>
      <c r="L94" s="14"/>
      <c r="M94" s="14"/>
      <c r="N94" s="14"/>
      <c r="O94" s="14"/>
      <c r="P94" s="14"/>
      <c r="Q94" s="14"/>
      <c r="R94" s="14"/>
      <c r="S94" s="14"/>
    </row>
    <row r="95" customFormat="false" ht="25.5" hidden="false" customHeight="false" outlineLevel="0" collapsed="false">
      <c r="C95" s="18" t="s">
        <v>1530</v>
      </c>
    </row>
    <row r="96" customFormat="false" ht="25.5" hidden="false" customHeight="false" outlineLevel="0" collapsed="false">
      <c r="C96" s="18" t="s">
        <v>1531</v>
      </c>
    </row>
    <row r="97" customFormat="false" ht="15" hidden="false" customHeight="false" outlineLevel="0" collapsed="false">
      <c r="C97" s="18" t="s">
        <v>1532</v>
      </c>
    </row>
    <row r="98" customFormat="false" ht="38.25" hidden="false" customHeight="false" outlineLevel="0" collapsed="false">
      <c r="C98" s="18" t="s">
        <v>1533</v>
      </c>
    </row>
    <row r="99" customFormat="false" ht="25.5" hidden="false" customHeight="false" outlineLevel="0" collapsed="false">
      <c r="C99" s="18" t="s">
        <v>1534</v>
      </c>
    </row>
    <row r="100" customFormat="false" ht="25.5" hidden="false" customHeight="false" outlineLevel="0" collapsed="false">
      <c r="C100" s="18" t="s">
        <v>1535</v>
      </c>
    </row>
    <row r="101" customFormat="false" ht="38.25" hidden="false" customHeight="false" outlineLevel="0" collapsed="false">
      <c r="C101" s="18" t="s">
        <v>1536</v>
      </c>
    </row>
    <row r="102" customFormat="false" ht="38.25" hidden="false" customHeight="false" outlineLevel="0" collapsed="false">
      <c r="C102" s="18" t="s">
        <v>1537</v>
      </c>
    </row>
    <row r="103" customFormat="false" ht="25.5" hidden="false" customHeight="false" outlineLevel="0" collapsed="false">
      <c r="C103" s="18" t="s">
        <v>1538</v>
      </c>
    </row>
    <row r="104" customFormat="false" ht="25.5" hidden="false" customHeight="false" outlineLevel="0" collapsed="false">
      <c r="C104" s="18" t="s">
        <v>1539</v>
      </c>
    </row>
    <row r="105" customFormat="false" ht="25.5" hidden="false" customHeight="false" outlineLevel="0" collapsed="false">
      <c r="C105" s="18" t="s">
        <v>1540</v>
      </c>
    </row>
    <row r="106" customFormat="false" ht="25.5" hidden="false" customHeight="false" outlineLevel="0" collapsed="false">
      <c r="C106" s="18" t="s">
        <v>1541</v>
      </c>
    </row>
    <row r="107" customFormat="false" ht="25.5" hidden="false" customHeight="false" outlineLevel="0" collapsed="false">
      <c r="C107" s="18" t="s">
        <v>1542</v>
      </c>
    </row>
    <row r="108" customFormat="false" ht="25.5" hidden="false" customHeight="false" outlineLevel="0" collapsed="false">
      <c r="C108" s="18" t="s">
        <v>1543</v>
      </c>
    </row>
    <row r="109" customFormat="false" ht="38.25" hidden="false" customHeight="false" outlineLevel="0" collapsed="false">
      <c r="C109" s="18" t="s">
        <v>1544</v>
      </c>
    </row>
    <row r="110" customFormat="false" ht="25.5" hidden="false" customHeight="false" outlineLevel="0" collapsed="false">
      <c r="C110" s="18" t="s">
        <v>1545</v>
      </c>
    </row>
    <row r="111" customFormat="false" ht="25.5" hidden="false" customHeight="false" outlineLevel="0" collapsed="false">
      <c r="C111" s="18" t="s">
        <v>1546</v>
      </c>
    </row>
    <row r="112" customFormat="false" ht="38.25" hidden="false" customHeight="false" outlineLevel="0" collapsed="false">
      <c r="C112" s="18" t="s">
        <v>1547</v>
      </c>
    </row>
    <row r="113" customFormat="false" ht="25.5" hidden="false" customHeight="false" outlineLevel="0" collapsed="false">
      <c r="C113" s="18" t="s">
        <v>1548</v>
      </c>
    </row>
    <row r="114" customFormat="false" ht="25.5" hidden="false" customHeight="false" outlineLevel="0" collapsed="false">
      <c r="C114" s="18" t="s">
        <v>1549</v>
      </c>
    </row>
    <row r="115" customFormat="false" ht="38.25" hidden="false" customHeight="false" outlineLevel="0" collapsed="false">
      <c r="C115" s="18" t="s">
        <v>1550</v>
      </c>
    </row>
    <row r="116" customFormat="false" ht="25.5" hidden="false" customHeight="false" outlineLevel="0" collapsed="false">
      <c r="C116" s="18" t="s">
        <v>1551</v>
      </c>
    </row>
    <row r="117" customFormat="false" ht="38.25" hidden="false" customHeight="false" outlineLevel="0" collapsed="false">
      <c r="C117" s="18" t="s">
        <v>1552</v>
      </c>
    </row>
    <row r="118" customFormat="false" ht="25.5" hidden="false" customHeight="false" outlineLevel="0" collapsed="false">
      <c r="C118" s="18" t="s">
        <v>1553</v>
      </c>
    </row>
    <row r="119" customFormat="false" ht="38.25" hidden="false" customHeight="false" outlineLevel="0" collapsed="false">
      <c r="C119" s="18" t="s">
        <v>1554</v>
      </c>
    </row>
    <row r="120" customFormat="false" ht="25.5" hidden="false" customHeight="false" outlineLevel="0" collapsed="false">
      <c r="C120" s="18" t="s">
        <v>1555</v>
      </c>
    </row>
    <row r="121" customFormat="false" ht="38.25" hidden="false" customHeight="false" outlineLevel="0" collapsed="false">
      <c r="C121" s="18" t="s">
        <v>1556</v>
      </c>
    </row>
    <row r="122" customFormat="false" ht="38.25" hidden="false" customHeight="false" outlineLevel="0" collapsed="false">
      <c r="C122" s="18" t="s">
        <v>1557</v>
      </c>
    </row>
    <row r="123" customFormat="false" ht="38.25" hidden="false" customHeight="false" outlineLevel="0" collapsed="false">
      <c r="C123" s="18" t="s">
        <v>1558</v>
      </c>
    </row>
    <row r="124" customFormat="false" ht="38.25" hidden="false" customHeight="false" outlineLevel="0" collapsed="false">
      <c r="C124" s="18" t="s">
        <v>1559</v>
      </c>
    </row>
    <row r="125" customFormat="false" ht="25.5" hidden="false" customHeight="false" outlineLevel="0" collapsed="false">
      <c r="C125" s="18" t="s">
        <v>1560</v>
      </c>
    </row>
    <row r="126" customFormat="false" ht="38.25" hidden="false" customHeight="false" outlineLevel="0" collapsed="false">
      <c r="C126" s="18" t="s">
        <v>1561</v>
      </c>
    </row>
    <row r="127" customFormat="false" ht="38.25" hidden="false" customHeight="false" outlineLevel="0" collapsed="false">
      <c r="C127" s="18" t="s">
        <v>1562</v>
      </c>
    </row>
    <row r="128" customFormat="false" ht="25.5" hidden="false" customHeight="false" outlineLevel="0" collapsed="false">
      <c r="C128" s="18" t="s">
        <v>1563</v>
      </c>
    </row>
    <row r="129" customFormat="false" ht="25.5" hidden="false" customHeight="false" outlineLevel="0" collapsed="false">
      <c r="C129" s="18" t="s">
        <v>1564</v>
      </c>
    </row>
    <row r="130" customFormat="false" ht="25.5" hidden="false" customHeight="false" outlineLevel="0" collapsed="false">
      <c r="C130" s="18" t="s">
        <v>1565</v>
      </c>
    </row>
    <row r="131" customFormat="false" ht="25.5" hidden="false" customHeight="false" outlineLevel="0" collapsed="false">
      <c r="C131" s="18" t="s">
        <v>1566</v>
      </c>
    </row>
    <row r="132" customFormat="false" ht="25.5" hidden="false" customHeight="false" outlineLevel="0" collapsed="false">
      <c r="C132" s="18" t="s">
        <v>1567</v>
      </c>
    </row>
    <row r="133" customFormat="false" ht="15" hidden="false" customHeight="false" outlineLevel="0" collapsed="false">
      <c r="C133" s="18" t="s">
        <v>1568</v>
      </c>
    </row>
    <row r="134" customFormat="false" ht="38.25" hidden="false" customHeight="false" outlineLevel="0" collapsed="false">
      <c r="C134" s="18" t="s">
        <v>1569</v>
      </c>
    </row>
    <row r="135" customFormat="false" ht="25.5" hidden="false" customHeight="false" outlineLevel="0" collapsed="false">
      <c r="C135" s="18" t="s">
        <v>1570</v>
      </c>
    </row>
    <row r="136" customFormat="false" ht="15" hidden="false" customHeight="false" outlineLevel="0" collapsed="false">
      <c r="C136" s="18" t="s">
        <v>1571</v>
      </c>
    </row>
    <row r="137" customFormat="false" ht="25.5" hidden="false" customHeight="false" outlineLevel="0" collapsed="false">
      <c r="C137" s="18" t="s">
        <v>1572</v>
      </c>
    </row>
    <row r="138" customFormat="false" ht="25.5" hidden="false" customHeight="false" outlineLevel="0" collapsed="false">
      <c r="C138" s="24" t="s">
        <v>1573</v>
      </c>
    </row>
    <row r="139" customFormat="false" ht="25.5" hidden="false" customHeight="false" outlineLevel="0" collapsed="false">
      <c r="C139" s="25" t="s">
        <v>1574</v>
      </c>
    </row>
    <row r="140" customFormat="false" ht="25.5" hidden="false" customHeight="false" outlineLevel="0" collapsed="false">
      <c r="C140" s="18" t="s">
        <v>1575</v>
      </c>
    </row>
    <row r="141" customFormat="false" ht="25.5" hidden="false" customHeight="false" outlineLevel="0" collapsed="false">
      <c r="C141" s="18" t="s">
        <v>1576</v>
      </c>
    </row>
    <row r="142" customFormat="false" ht="25.5" hidden="false" customHeight="false" outlineLevel="0" collapsed="false">
      <c r="C142" s="18" t="s">
        <v>1577</v>
      </c>
    </row>
    <row r="143" customFormat="false" ht="38.25" hidden="false" customHeight="false" outlineLevel="0" collapsed="false">
      <c r="C143" s="18" t="s">
        <v>1578</v>
      </c>
    </row>
    <row r="144" customFormat="false" ht="25.5" hidden="false" customHeight="false" outlineLevel="0" collapsed="false">
      <c r="C144" s="18" t="s">
        <v>1579</v>
      </c>
    </row>
    <row r="145" customFormat="false" ht="38.25" hidden="false" customHeight="false" outlineLevel="0" collapsed="false">
      <c r="C145" s="18" t="s">
        <v>1580</v>
      </c>
    </row>
    <row r="146" customFormat="false" ht="25.5" hidden="false" customHeight="false" outlineLevel="0" collapsed="false">
      <c r="C146" s="18" t="s">
        <v>1581</v>
      </c>
    </row>
    <row r="147" customFormat="false" ht="38.25" hidden="false" customHeight="false" outlineLevel="0" collapsed="false">
      <c r="C147" s="18" t="s">
        <v>1582</v>
      </c>
    </row>
    <row r="148" customFormat="false" ht="51" hidden="false" customHeight="false" outlineLevel="0" collapsed="false">
      <c r="C148" s="18" t="s">
        <v>1583</v>
      </c>
    </row>
    <row r="149" customFormat="false" ht="38.25" hidden="false" customHeight="false" outlineLevel="0" collapsed="false">
      <c r="C149" s="18" t="s">
        <v>1584</v>
      </c>
    </row>
    <row r="150" customFormat="false" ht="25.5" hidden="false" customHeight="false" outlineLevel="0" collapsed="false">
      <c r="C150" s="18" t="s">
        <v>1585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A4:L55"/>
  <sheetViews>
    <sheetView showFormulas="false" showGridLines="false" showRowColHeaders="true" showZeros="true" rightToLeft="false" tabSelected="false" showOutlineSymbols="true" defaultGridColor="true" view="normal" topLeftCell="A16" colorId="64" zoomScale="100" zoomScaleNormal="100" zoomScalePageLayoutView="100" workbookViewId="0">
      <selection pane="topLeft" activeCell="A51" activeCellId="0" sqref="A51"/>
    </sheetView>
  </sheetViews>
  <sheetFormatPr defaultColWidth="11.421875" defaultRowHeight="16.5" zeroHeight="false" outlineLevelRow="0" outlineLevelCol="0"/>
  <cols>
    <col collapsed="false" customWidth="false" hidden="false" outlineLevel="0" max="257" min="1" style="26" width="11.42"/>
  </cols>
  <sheetData>
    <row r="4" customFormat="false" ht="16.5" hidden="false" customHeight="false" outlineLevel="0" collapsed="false">
      <c r="A4" s="27" t="s">
        <v>1586</v>
      </c>
      <c r="B4" s="27"/>
      <c r="C4" s="27"/>
      <c r="D4" s="27"/>
      <c r="E4" s="27"/>
      <c r="F4" s="27"/>
      <c r="G4" s="27"/>
      <c r="H4" s="27"/>
      <c r="I4" s="27"/>
      <c r="J4" s="27"/>
      <c r="K4" s="27"/>
      <c r="L4" s="27"/>
    </row>
    <row r="5" customFormat="false" ht="16.5" hidden="false" customHeight="false" outlineLevel="0" collapsed="false">
      <c r="A5" s="28"/>
      <c r="B5" s="28"/>
      <c r="C5" s="28"/>
      <c r="D5" s="28"/>
      <c r="E5" s="28"/>
      <c r="F5" s="28"/>
      <c r="G5" s="28"/>
      <c r="H5" s="28"/>
      <c r="I5" s="28"/>
      <c r="J5" s="28"/>
      <c r="K5" s="28"/>
      <c r="L5" s="28"/>
    </row>
    <row r="6" customFormat="false" ht="16.5" hidden="false" customHeight="false" outlineLevel="0" collapsed="false">
      <c r="A6" s="29" t="s">
        <v>1587</v>
      </c>
      <c r="B6" s="29"/>
      <c r="C6" s="29"/>
      <c r="D6" s="29"/>
      <c r="E6" s="29"/>
      <c r="F6" s="29"/>
      <c r="G6" s="29"/>
      <c r="H6" s="29"/>
      <c r="I6" s="29"/>
      <c r="J6" s="29"/>
      <c r="K6" s="29"/>
      <c r="L6" s="29"/>
    </row>
    <row r="7" customFormat="false" ht="135" hidden="false" customHeight="true" outlineLevel="0" collapsed="false">
      <c r="A7" s="30" t="s">
        <v>1588</v>
      </c>
      <c r="B7" s="30"/>
      <c r="C7" s="30"/>
      <c r="D7" s="30"/>
      <c r="E7" s="30"/>
      <c r="F7" s="30"/>
      <c r="G7" s="30"/>
      <c r="H7" s="30"/>
      <c r="I7" s="30"/>
      <c r="J7" s="30"/>
      <c r="K7" s="30"/>
      <c r="L7" s="30"/>
    </row>
    <row r="8" customFormat="false" ht="15.6" hidden="false" customHeight="true" outlineLevel="0" collapsed="false">
      <c r="A8" s="31" t="s">
        <v>1589</v>
      </c>
      <c r="B8" s="31"/>
      <c r="C8" s="31"/>
      <c r="D8" s="31"/>
      <c r="E8" s="31"/>
      <c r="F8" s="31"/>
      <c r="G8" s="31"/>
      <c r="H8" s="31"/>
      <c r="I8" s="31"/>
      <c r="J8" s="31"/>
      <c r="K8" s="31"/>
      <c r="L8" s="31"/>
    </row>
    <row r="9" customFormat="false" ht="16.5" hidden="false" customHeight="false" outlineLevel="0" collapsed="false">
      <c r="A9" s="29" t="s">
        <v>1590</v>
      </c>
      <c r="B9" s="29"/>
      <c r="C9" s="29"/>
      <c r="D9" s="29"/>
      <c r="E9" s="29"/>
      <c r="F9" s="29"/>
      <c r="G9" s="29"/>
      <c r="H9" s="29"/>
      <c r="I9" s="29"/>
      <c r="J9" s="29"/>
      <c r="K9" s="29"/>
      <c r="L9" s="29"/>
    </row>
    <row r="10" customFormat="false" ht="366.75" hidden="false" customHeight="true" outlineLevel="0" collapsed="false">
      <c r="A10" s="30" t="s">
        <v>1591</v>
      </c>
      <c r="B10" s="30"/>
      <c r="C10" s="30"/>
      <c r="D10" s="30"/>
      <c r="E10" s="30"/>
      <c r="F10" s="30"/>
      <c r="G10" s="30"/>
      <c r="H10" s="30"/>
      <c r="I10" s="30"/>
      <c r="J10" s="30"/>
      <c r="K10" s="30"/>
      <c r="L10" s="30"/>
    </row>
    <row r="11" customFormat="false" ht="16.5" hidden="false" customHeight="false" outlineLevel="0" collapsed="false">
      <c r="A11" s="29" t="s">
        <v>1592</v>
      </c>
      <c r="B11" s="29"/>
      <c r="C11" s="29"/>
      <c r="D11" s="29"/>
      <c r="E11" s="29"/>
      <c r="F11" s="29"/>
      <c r="G11" s="29"/>
      <c r="H11" s="29"/>
      <c r="I11" s="29"/>
      <c r="J11" s="29"/>
      <c r="K11" s="29"/>
      <c r="L11" s="29"/>
    </row>
    <row r="12" customFormat="false" ht="294" hidden="false" customHeight="true" outlineLevel="0" collapsed="false">
      <c r="A12" s="30" t="s">
        <v>1593</v>
      </c>
      <c r="B12" s="30"/>
      <c r="C12" s="30"/>
      <c r="D12" s="30"/>
      <c r="E12" s="30"/>
      <c r="F12" s="30"/>
      <c r="G12" s="30"/>
      <c r="H12" s="30"/>
      <c r="I12" s="30"/>
      <c r="J12" s="30"/>
      <c r="K12" s="30"/>
      <c r="L12" s="30"/>
    </row>
    <row r="13" customFormat="false" ht="16.5" hidden="false" customHeight="false" outlineLevel="0" collapsed="false">
      <c r="A13" s="32" t="s">
        <v>1594</v>
      </c>
      <c r="B13" s="32"/>
      <c r="C13" s="32"/>
      <c r="D13" s="32"/>
      <c r="E13" s="32"/>
      <c r="F13" s="32"/>
      <c r="G13" s="32"/>
      <c r="H13" s="32"/>
      <c r="I13" s="32"/>
      <c r="J13" s="32"/>
      <c r="K13" s="32"/>
      <c r="L13" s="32"/>
    </row>
    <row r="14" customFormat="false" ht="74.25" hidden="false" customHeight="true" outlineLevel="0" collapsed="false">
      <c r="A14" s="30" t="s">
        <v>1595</v>
      </c>
      <c r="B14" s="30"/>
      <c r="C14" s="30"/>
      <c r="D14" s="30"/>
      <c r="E14" s="30"/>
      <c r="F14" s="30"/>
      <c r="G14" s="30"/>
      <c r="H14" s="30"/>
      <c r="I14" s="30"/>
      <c r="J14" s="30"/>
      <c r="K14" s="30"/>
      <c r="L14" s="30"/>
    </row>
    <row r="15" customFormat="false" ht="16.5" hidden="false" customHeight="false" outlineLevel="0" collapsed="false">
      <c r="A15" s="32" t="s">
        <v>1596</v>
      </c>
      <c r="B15" s="32"/>
      <c r="C15" s="32"/>
      <c r="D15" s="32"/>
      <c r="E15" s="32"/>
      <c r="F15" s="32"/>
      <c r="G15" s="32"/>
      <c r="H15" s="32"/>
      <c r="I15" s="32"/>
      <c r="J15" s="32"/>
      <c r="K15" s="32"/>
      <c r="L15" s="32"/>
    </row>
    <row r="16" customFormat="false" ht="154.5" hidden="false" customHeight="true" outlineLevel="0" collapsed="false">
      <c r="A16" s="30" t="s">
        <v>1597</v>
      </c>
      <c r="B16" s="30"/>
      <c r="C16" s="30"/>
      <c r="D16" s="30"/>
      <c r="E16" s="30"/>
      <c r="F16" s="30"/>
      <c r="G16" s="30"/>
      <c r="H16" s="30"/>
      <c r="I16" s="30"/>
      <c r="J16" s="30"/>
      <c r="K16" s="30"/>
      <c r="L16" s="30"/>
    </row>
    <row r="17" customFormat="false" ht="16.5" hidden="false" customHeight="false" outlineLevel="0" collapsed="false">
      <c r="A17" s="32" t="s">
        <v>1598</v>
      </c>
      <c r="B17" s="32"/>
      <c r="C17" s="32"/>
      <c r="D17" s="32"/>
      <c r="E17" s="32"/>
      <c r="F17" s="32"/>
      <c r="G17" s="32"/>
      <c r="H17" s="32"/>
      <c r="I17" s="32"/>
      <c r="J17" s="32"/>
      <c r="K17" s="32"/>
      <c r="L17" s="32"/>
    </row>
    <row r="18" customFormat="false" ht="78.75" hidden="false" customHeight="true" outlineLevel="0" collapsed="false">
      <c r="A18" s="30" t="s">
        <v>1599</v>
      </c>
      <c r="B18" s="30"/>
      <c r="C18" s="30"/>
      <c r="D18" s="30"/>
      <c r="E18" s="30"/>
      <c r="F18" s="30"/>
      <c r="G18" s="30"/>
      <c r="H18" s="30"/>
      <c r="I18" s="30"/>
      <c r="J18" s="30"/>
      <c r="K18" s="30"/>
      <c r="L18" s="30"/>
    </row>
    <row r="19" customFormat="false" ht="16.5" hidden="false" customHeight="false" outlineLevel="0" collapsed="false">
      <c r="A19" s="29" t="s">
        <v>1600</v>
      </c>
      <c r="B19" s="29"/>
      <c r="C19" s="29"/>
      <c r="D19" s="29"/>
      <c r="E19" s="29"/>
      <c r="F19" s="29"/>
      <c r="G19" s="29"/>
      <c r="H19" s="29"/>
      <c r="I19" s="29"/>
      <c r="J19" s="29"/>
      <c r="K19" s="29"/>
      <c r="L19" s="29"/>
    </row>
    <row r="20" customFormat="false" ht="39.75" hidden="false" customHeight="true" outlineLevel="0" collapsed="false">
      <c r="A20" s="30" t="s">
        <v>1601</v>
      </c>
      <c r="B20" s="30"/>
      <c r="C20" s="30"/>
      <c r="D20" s="30"/>
      <c r="E20" s="30"/>
      <c r="F20" s="30"/>
      <c r="G20" s="30"/>
      <c r="H20" s="30"/>
      <c r="I20" s="30"/>
      <c r="J20" s="30"/>
      <c r="K20" s="30"/>
      <c r="L20" s="30"/>
    </row>
    <row r="21" customFormat="false" ht="16.5" hidden="false" customHeight="false" outlineLevel="0" collapsed="false">
      <c r="A21" s="29" t="s">
        <v>1602</v>
      </c>
      <c r="B21" s="29"/>
      <c r="C21" s="29"/>
      <c r="D21" s="29"/>
      <c r="E21" s="29"/>
      <c r="F21" s="29"/>
      <c r="G21" s="29"/>
      <c r="H21" s="29"/>
      <c r="I21" s="29"/>
      <c r="J21" s="29"/>
      <c r="K21" s="29"/>
      <c r="L21" s="29"/>
    </row>
    <row r="22" customFormat="false" ht="362.25" hidden="false" customHeight="true" outlineLevel="0" collapsed="false">
      <c r="A22" s="30" t="s">
        <v>1603</v>
      </c>
      <c r="B22" s="30"/>
      <c r="C22" s="30"/>
      <c r="D22" s="30"/>
      <c r="E22" s="30"/>
      <c r="F22" s="30"/>
      <c r="G22" s="30"/>
      <c r="H22" s="30"/>
      <c r="I22" s="30"/>
      <c r="J22" s="30"/>
      <c r="K22" s="30"/>
      <c r="L22" s="30"/>
    </row>
    <row r="23" customFormat="false" ht="16.5" hidden="false" customHeight="false" outlineLevel="0" collapsed="false">
      <c r="A23" s="29" t="s">
        <v>1604</v>
      </c>
      <c r="B23" s="29"/>
      <c r="C23" s="29"/>
      <c r="D23" s="29"/>
      <c r="E23" s="29"/>
      <c r="F23" s="29"/>
      <c r="G23" s="29"/>
      <c r="H23" s="29"/>
      <c r="I23" s="29"/>
      <c r="J23" s="29"/>
      <c r="K23" s="29"/>
      <c r="L23" s="29"/>
    </row>
    <row r="24" customFormat="false" ht="356.25" hidden="false" customHeight="true" outlineLevel="0" collapsed="false">
      <c r="A24" s="30" t="s">
        <v>1605</v>
      </c>
      <c r="B24" s="30"/>
      <c r="C24" s="30"/>
      <c r="D24" s="30"/>
      <c r="E24" s="30"/>
      <c r="F24" s="30"/>
      <c r="G24" s="30"/>
      <c r="H24" s="30"/>
      <c r="I24" s="30"/>
      <c r="J24" s="30"/>
      <c r="K24" s="30"/>
      <c r="L24" s="30"/>
    </row>
    <row r="25" customFormat="false" ht="16.5" hidden="false" customHeight="false" outlineLevel="0" collapsed="false">
      <c r="A25" s="29" t="s">
        <v>1606</v>
      </c>
      <c r="B25" s="29"/>
      <c r="C25" s="29"/>
      <c r="D25" s="29"/>
      <c r="E25" s="29"/>
      <c r="F25" s="29"/>
      <c r="G25" s="29"/>
      <c r="H25" s="29"/>
      <c r="I25" s="29"/>
      <c r="J25" s="29"/>
      <c r="K25" s="29"/>
      <c r="L25" s="29"/>
    </row>
    <row r="26" customFormat="false" ht="258" hidden="false" customHeight="true" outlineLevel="0" collapsed="false">
      <c r="A26" s="30" t="s">
        <v>1607</v>
      </c>
      <c r="B26" s="30"/>
      <c r="C26" s="30"/>
      <c r="D26" s="30"/>
      <c r="E26" s="30"/>
      <c r="F26" s="30"/>
      <c r="G26" s="30"/>
      <c r="H26" s="30"/>
      <c r="I26" s="30"/>
      <c r="J26" s="30"/>
      <c r="K26" s="30"/>
      <c r="L26" s="30"/>
    </row>
    <row r="27" customFormat="false" ht="16.5" hidden="false" customHeight="false" outlineLevel="0" collapsed="false">
      <c r="A27" s="29" t="s">
        <v>1608</v>
      </c>
      <c r="B27" s="29"/>
      <c r="C27" s="29"/>
      <c r="D27" s="29"/>
      <c r="E27" s="29"/>
      <c r="F27" s="29"/>
      <c r="G27" s="29"/>
      <c r="H27" s="29"/>
      <c r="I27" s="29"/>
      <c r="J27" s="29"/>
      <c r="K27" s="29"/>
      <c r="L27" s="29"/>
    </row>
    <row r="28" customFormat="false" ht="140.25" hidden="false" customHeight="true" outlineLevel="0" collapsed="false">
      <c r="A28" s="30" t="s">
        <v>1609</v>
      </c>
      <c r="B28" s="30"/>
      <c r="C28" s="30"/>
      <c r="D28" s="30"/>
      <c r="E28" s="30"/>
      <c r="F28" s="30"/>
      <c r="G28" s="30"/>
      <c r="H28" s="30"/>
      <c r="I28" s="30"/>
      <c r="J28" s="30"/>
      <c r="K28" s="30"/>
      <c r="L28" s="30"/>
    </row>
    <row r="29" customFormat="false" ht="16.5" hidden="false" customHeight="false" outlineLevel="0" collapsed="false">
      <c r="A29" s="29" t="s">
        <v>1610</v>
      </c>
      <c r="B29" s="29"/>
      <c r="C29" s="29"/>
      <c r="D29" s="29"/>
      <c r="E29" s="29"/>
      <c r="F29" s="29"/>
      <c r="G29" s="29"/>
      <c r="H29" s="29"/>
      <c r="I29" s="29"/>
      <c r="J29" s="29"/>
      <c r="K29" s="29"/>
      <c r="L29" s="29"/>
    </row>
    <row r="30" customFormat="false" ht="378" hidden="false" customHeight="true" outlineLevel="0" collapsed="false">
      <c r="A30" s="30" t="s">
        <v>1611</v>
      </c>
      <c r="B30" s="30"/>
      <c r="C30" s="30"/>
      <c r="D30" s="30"/>
      <c r="E30" s="30"/>
      <c r="F30" s="30"/>
      <c r="G30" s="30"/>
      <c r="H30" s="30"/>
      <c r="I30" s="30"/>
      <c r="J30" s="30"/>
      <c r="K30" s="30"/>
      <c r="L30" s="30"/>
    </row>
    <row r="31" customFormat="false" ht="16.5" hidden="false" customHeight="false" outlineLevel="0" collapsed="false">
      <c r="A31" s="29" t="s">
        <v>1612</v>
      </c>
      <c r="B31" s="29"/>
      <c r="C31" s="29"/>
      <c r="D31" s="29"/>
      <c r="E31" s="29"/>
      <c r="F31" s="29"/>
      <c r="G31" s="29"/>
      <c r="H31" s="29"/>
      <c r="I31" s="29"/>
      <c r="J31" s="29"/>
      <c r="K31" s="29"/>
      <c r="L31" s="29"/>
    </row>
    <row r="32" customFormat="false" ht="409.5" hidden="false" customHeight="true" outlineLevel="0" collapsed="false">
      <c r="A32" s="30" t="s">
        <v>1613</v>
      </c>
      <c r="B32" s="30"/>
      <c r="C32" s="30"/>
      <c r="D32" s="30"/>
      <c r="E32" s="30"/>
      <c r="F32" s="30"/>
      <c r="G32" s="30"/>
      <c r="H32" s="30"/>
      <c r="I32" s="30"/>
      <c r="J32" s="30"/>
      <c r="K32" s="30"/>
      <c r="L32" s="30"/>
    </row>
    <row r="33" customFormat="false" ht="16.5" hidden="false" customHeight="false" outlineLevel="0" collapsed="false">
      <c r="A33" s="29" t="s">
        <v>1614</v>
      </c>
      <c r="B33" s="29"/>
      <c r="C33" s="29"/>
      <c r="D33" s="29"/>
      <c r="E33" s="29"/>
      <c r="F33" s="29"/>
      <c r="G33" s="29"/>
      <c r="H33" s="29"/>
      <c r="I33" s="29"/>
      <c r="J33" s="29"/>
      <c r="K33" s="29"/>
      <c r="L33" s="29"/>
    </row>
    <row r="34" customFormat="false" ht="409.5" hidden="false" customHeight="true" outlineLevel="0" collapsed="false">
      <c r="A34" s="30" t="s">
        <v>1615</v>
      </c>
      <c r="B34" s="30"/>
      <c r="C34" s="30"/>
      <c r="D34" s="30"/>
      <c r="E34" s="30"/>
      <c r="F34" s="30"/>
      <c r="G34" s="30"/>
      <c r="H34" s="30"/>
      <c r="I34" s="30"/>
      <c r="J34" s="30"/>
      <c r="K34" s="30"/>
      <c r="L34" s="30"/>
    </row>
    <row r="35" customFormat="false" ht="234.75" hidden="false" customHeight="true" outlineLevel="0" collapsed="false">
      <c r="A35" s="30"/>
      <c r="B35" s="30"/>
      <c r="C35" s="30"/>
      <c r="D35" s="30"/>
      <c r="E35" s="30"/>
      <c r="F35" s="30"/>
      <c r="G35" s="30"/>
      <c r="H35" s="30"/>
      <c r="I35" s="30"/>
      <c r="J35" s="30"/>
      <c r="K35" s="30"/>
      <c r="L35" s="30"/>
    </row>
    <row r="36" customFormat="false" ht="36.6" hidden="false" customHeight="true" outlineLevel="0" collapsed="false">
      <c r="A36" s="33" t="s">
        <v>1616</v>
      </c>
      <c r="B36" s="33"/>
      <c r="C36" s="33"/>
      <c r="D36" s="33"/>
      <c r="E36" s="33"/>
      <c r="F36" s="33"/>
      <c r="G36" s="33"/>
      <c r="H36" s="33"/>
      <c r="I36" s="33"/>
      <c r="J36" s="33"/>
      <c r="K36" s="33"/>
      <c r="L36" s="33"/>
    </row>
    <row r="37" customFormat="false" ht="77.25" hidden="false" customHeight="true" outlineLevel="0" collapsed="false">
      <c r="A37" s="30" t="s">
        <v>1617</v>
      </c>
      <c r="B37" s="30"/>
      <c r="C37" s="30"/>
      <c r="D37" s="30"/>
      <c r="E37" s="30"/>
      <c r="F37" s="30"/>
      <c r="G37" s="30"/>
      <c r="H37" s="30"/>
      <c r="I37" s="30"/>
      <c r="J37" s="30"/>
      <c r="K37" s="30"/>
      <c r="L37" s="30"/>
    </row>
    <row r="38" customFormat="false" ht="15.6" hidden="false" customHeight="true" outlineLevel="0" collapsed="false">
      <c r="A38" s="33" t="s">
        <v>1618</v>
      </c>
      <c r="B38" s="33"/>
      <c r="C38" s="33"/>
      <c r="D38" s="33"/>
      <c r="E38" s="33"/>
      <c r="F38" s="33"/>
      <c r="G38" s="33"/>
      <c r="H38" s="33"/>
      <c r="I38" s="33"/>
      <c r="J38" s="33"/>
      <c r="K38" s="33"/>
      <c r="L38" s="33"/>
    </row>
    <row r="39" customFormat="false" ht="384.95" hidden="false" customHeight="true" outlineLevel="0" collapsed="false">
      <c r="A39" s="30" t="s">
        <v>1619</v>
      </c>
      <c r="B39" s="30"/>
      <c r="C39" s="30"/>
      <c r="D39" s="30"/>
      <c r="E39" s="30"/>
      <c r="F39" s="30"/>
      <c r="G39" s="30"/>
      <c r="H39" s="30"/>
      <c r="I39" s="30"/>
      <c r="J39" s="30"/>
      <c r="K39" s="30"/>
      <c r="L39" s="30"/>
    </row>
    <row r="40" customFormat="false" ht="16.5" hidden="false" customHeight="true" outlineLevel="0" collapsed="false">
      <c r="A40" s="34" t="s">
        <v>1620</v>
      </c>
      <c r="B40" s="34"/>
      <c r="C40" s="34"/>
      <c r="D40" s="34"/>
      <c r="E40" s="34"/>
      <c r="F40" s="34"/>
      <c r="G40" s="34"/>
      <c r="H40" s="34"/>
      <c r="I40" s="34"/>
      <c r="J40" s="34"/>
      <c r="K40" s="34"/>
      <c r="L40" s="34"/>
    </row>
    <row r="41" customFormat="false" ht="174" hidden="false" customHeight="true" outlineLevel="0" collapsed="false">
      <c r="A41" s="30" t="s">
        <v>1621</v>
      </c>
      <c r="B41" s="30"/>
      <c r="C41" s="30"/>
      <c r="D41" s="30"/>
      <c r="E41" s="30"/>
      <c r="F41" s="30"/>
      <c r="G41" s="30"/>
      <c r="H41" s="30"/>
      <c r="I41" s="30"/>
      <c r="J41" s="30"/>
      <c r="K41" s="30"/>
      <c r="L41" s="30"/>
    </row>
    <row r="42" customFormat="false" ht="16.5" hidden="false" customHeight="true" outlineLevel="0" collapsed="false">
      <c r="A42" s="34" t="s">
        <v>1622</v>
      </c>
      <c r="B42" s="34"/>
      <c r="C42" s="34"/>
      <c r="D42" s="34"/>
      <c r="E42" s="34"/>
      <c r="F42" s="34"/>
      <c r="G42" s="34"/>
      <c r="H42" s="34"/>
      <c r="I42" s="34"/>
      <c r="J42" s="34"/>
      <c r="K42" s="34"/>
      <c r="L42" s="34"/>
    </row>
    <row r="43" customFormat="false" ht="302.25" hidden="false" customHeight="true" outlineLevel="0" collapsed="false">
      <c r="A43" s="30" t="s">
        <v>1623</v>
      </c>
      <c r="B43" s="30"/>
      <c r="C43" s="30"/>
      <c r="D43" s="30"/>
      <c r="E43" s="30"/>
      <c r="F43" s="30"/>
      <c r="G43" s="30"/>
      <c r="H43" s="30"/>
      <c r="I43" s="30"/>
      <c r="J43" s="30"/>
      <c r="K43" s="30"/>
      <c r="L43" s="30"/>
    </row>
    <row r="44" customFormat="false" ht="16.5" hidden="false" customHeight="true" outlineLevel="0" collapsed="false">
      <c r="A44" s="34" t="s">
        <v>1624</v>
      </c>
      <c r="B44" s="34"/>
      <c r="C44" s="34"/>
      <c r="D44" s="34"/>
      <c r="E44" s="34"/>
      <c r="F44" s="34"/>
      <c r="G44" s="34"/>
      <c r="H44" s="34"/>
      <c r="I44" s="34"/>
      <c r="J44" s="34"/>
      <c r="K44" s="34"/>
      <c r="L44" s="34"/>
    </row>
    <row r="45" customFormat="false" ht="160.5" hidden="false" customHeight="true" outlineLevel="0" collapsed="false">
      <c r="A45" s="30" t="s">
        <v>1625</v>
      </c>
      <c r="B45" s="30"/>
      <c r="C45" s="30"/>
      <c r="D45" s="30"/>
      <c r="E45" s="30"/>
      <c r="F45" s="30"/>
      <c r="G45" s="30"/>
      <c r="H45" s="30"/>
      <c r="I45" s="30"/>
      <c r="J45" s="30"/>
      <c r="K45" s="30"/>
      <c r="L45" s="30"/>
    </row>
    <row r="46" customFormat="false" ht="16.5" hidden="false" customHeight="true" outlineLevel="0" collapsed="false">
      <c r="A46" s="34" t="s">
        <v>1626</v>
      </c>
      <c r="B46" s="34"/>
      <c r="C46" s="34"/>
      <c r="D46" s="34"/>
      <c r="E46" s="34"/>
      <c r="F46" s="34"/>
      <c r="G46" s="34"/>
      <c r="H46" s="34"/>
      <c r="I46" s="34"/>
      <c r="J46" s="34"/>
      <c r="K46" s="34"/>
      <c r="L46" s="34"/>
    </row>
    <row r="47" customFormat="false" ht="215.25" hidden="false" customHeight="true" outlineLevel="0" collapsed="false">
      <c r="A47" s="30" t="s">
        <v>1627</v>
      </c>
      <c r="B47" s="30"/>
      <c r="C47" s="30"/>
      <c r="D47" s="30"/>
      <c r="E47" s="30"/>
      <c r="F47" s="30"/>
      <c r="G47" s="30"/>
      <c r="H47" s="30"/>
      <c r="I47" s="30"/>
      <c r="J47" s="30"/>
      <c r="K47" s="30"/>
      <c r="L47" s="30"/>
    </row>
    <row r="48" customFormat="false" ht="16.5" hidden="false" customHeight="true" outlineLevel="0" collapsed="false">
      <c r="A48" s="34" t="s">
        <v>1628</v>
      </c>
      <c r="B48" s="34"/>
      <c r="C48" s="34"/>
      <c r="D48" s="34"/>
      <c r="E48" s="34"/>
      <c r="F48" s="34"/>
      <c r="G48" s="34"/>
      <c r="H48" s="34"/>
      <c r="I48" s="34"/>
      <c r="J48" s="34"/>
      <c r="K48" s="34"/>
      <c r="L48" s="34"/>
    </row>
    <row r="49" customFormat="false" ht="195.6" hidden="false" customHeight="true" outlineLevel="0" collapsed="false">
      <c r="A49" s="30" t="s">
        <v>1629</v>
      </c>
      <c r="B49" s="30"/>
      <c r="C49" s="30"/>
      <c r="D49" s="30"/>
      <c r="E49" s="30"/>
      <c r="F49" s="30"/>
      <c r="G49" s="30"/>
      <c r="H49" s="30"/>
      <c r="I49" s="30"/>
      <c r="J49" s="30"/>
      <c r="K49" s="30"/>
      <c r="L49" s="30"/>
    </row>
    <row r="50" customFormat="false" ht="16.5" hidden="false" customHeight="true" outlineLevel="0" collapsed="false">
      <c r="A50" s="34" t="s">
        <v>1630</v>
      </c>
      <c r="B50" s="34"/>
      <c r="C50" s="34"/>
      <c r="D50" s="34"/>
      <c r="E50" s="34"/>
      <c r="F50" s="34"/>
      <c r="G50" s="34"/>
      <c r="H50" s="34"/>
      <c r="I50" s="34"/>
      <c r="J50" s="34"/>
      <c r="K50" s="34"/>
      <c r="L50" s="34"/>
    </row>
    <row r="51" customFormat="false" ht="155.25" hidden="false" customHeight="true" outlineLevel="0" collapsed="false">
      <c r="A51" s="30" t="s">
        <v>1631</v>
      </c>
      <c r="B51" s="30"/>
      <c r="C51" s="30"/>
      <c r="D51" s="30"/>
      <c r="E51" s="30"/>
      <c r="F51" s="30"/>
      <c r="G51" s="30"/>
      <c r="H51" s="30"/>
      <c r="I51" s="30"/>
      <c r="J51" s="30"/>
      <c r="K51" s="30"/>
      <c r="L51" s="30"/>
    </row>
    <row r="52" customFormat="false" ht="16.5" hidden="false" customHeight="true" outlineLevel="0" collapsed="false">
      <c r="A52" s="34" t="s">
        <v>1632</v>
      </c>
      <c r="B52" s="34"/>
      <c r="C52" s="34"/>
      <c r="D52" s="34"/>
      <c r="E52" s="34"/>
      <c r="F52" s="34"/>
      <c r="G52" s="34"/>
      <c r="H52" s="34"/>
      <c r="I52" s="34"/>
      <c r="J52" s="34"/>
      <c r="K52" s="34"/>
      <c r="L52" s="34"/>
    </row>
    <row r="53" customFormat="false" ht="23.1" hidden="false" customHeight="true" outlineLevel="0" collapsed="false">
      <c r="A53" s="30" t="s">
        <v>1633</v>
      </c>
      <c r="B53" s="30"/>
      <c r="C53" s="30"/>
      <c r="D53" s="30"/>
      <c r="E53" s="30"/>
      <c r="F53" s="30"/>
      <c r="G53" s="30"/>
      <c r="H53" s="30"/>
      <c r="I53" s="30"/>
      <c r="J53" s="30"/>
      <c r="K53" s="30"/>
      <c r="L53" s="30"/>
    </row>
    <row r="54" customFormat="false" ht="16.5" hidden="false" customHeight="true" outlineLevel="0" collapsed="false">
      <c r="A54" s="34" t="s">
        <v>1634</v>
      </c>
      <c r="B54" s="34"/>
      <c r="C54" s="34"/>
      <c r="D54" s="34"/>
      <c r="E54" s="34"/>
      <c r="F54" s="34"/>
      <c r="G54" s="34"/>
      <c r="H54" s="34"/>
      <c r="I54" s="34"/>
      <c r="J54" s="34"/>
      <c r="K54" s="34"/>
      <c r="L54" s="34"/>
    </row>
    <row r="55" customFormat="false" ht="16.5" hidden="false" customHeight="true" outlineLevel="0" collapsed="false">
      <c r="A55" s="30" t="s">
        <v>1635</v>
      </c>
      <c r="B55" s="30"/>
      <c r="C55" s="30"/>
      <c r="D55" s="30"/>
      <c r="E55" s="30"/>
      <c r="F55" s="30"/>
      <c r="G55" s="30"/>
      <c r="H55" s="30"/>
      <c r="I55" s="30"/>
      <c r="J55" s="30"/>
      <c r="K55" s="30"/>
      <c r="L55" s="30"/>
    </row>
  </sheetData>
  <sheetProtection sheet="true" password="9312"/>
  <mergeCells count="50">
    <mergeCell ref="A4:L4"/>
    <mergeCell ref="A6:L6"/>
    <mergeCell ref="A7:L7"/>
    <mergeCell ref="A8:L8"/>
    <mergeCell ref="A9:L9"/>
    <mergeCell ref="A10:L10"/>
    <mergeCell ref="A11:L11"/>
    <mergeCell ref="A12:L12"/>
    <mergeCell ref="A13:L13"/>
    <mergeCell ref="A14:L14"/>
    <mergeCell ref="A15:L15"/>
    <mergeCell ref="A16:L16"/>
    <mergeCell ref="A17:L17"/>
    <mergeCell ref="A18:L18"/>
    <mergeCell ref="A19:L19"/>
    <mergeCell ref="A20:L20"/>
    <mergeCell ref="A21:L21"/>
    <mergeCell ref="A22:L22"/>
    <mergeCell ref="A23:L23"/>
    <mergeCell ref="A24:L24"/>
    <mergeCell ref="A25:L25"/>
    <mergeCell ref="A26:L26"/>
    <mergeCell ref="A27:L27"/>
    <mergeCell ref="A28:L28"/>
    <mergeCell ref="A29:L29"/>
    <mergeCell ref="A30:L30"/>
    <mergeCell ref="A31:L31"/>
    <mergeCell ref="A32:L32"/>
    <mergeCell ref="A33:L33"/>
    <mergeCell ref="A34:L35"/>
    <mergeCell ref="A36:L36"/>
    <mergeCell ref="A37:L37"/>
    <mergeCell ref="A38:L38"/>
    <mergeCell ref="A39:L39"/>
    <mergeCell ref="A40:L40"/>
    <mergeCell ref="A41:L41"/>
    <mergeCell ref="A42:L42"/>
    <mergeCell ref="A43:L43"/>
    <mergeCell ref="A44:L44"/>
    <mergeCell ref="A45:L45"/>
    <mergeCell ref="A46:L46"/>
    <mergeCell ref="A47:L47"/>
    <mergeCell ref="A48:L48"/>
    <mergeCell ref="A49:L49"/>
    <mergeCell ref="A50:L50"/>
    <mergeCell ref="A51:L51"/>
    <mergeCell ref="A52:L52"/>
    <mergeCell ref="A53:L53"/>
    <mergeCell ref="A54:L54"/>
    <mergeCell ref="A55:L55"/>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1" scale="6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3:BU820"/>
  <sheetViews>
    <sheetView showFormulas="false" showGridLines="false" showRowColHeaders="true" showZeros="true" rightToLeft="false" tabSelected="true" showOutlineSymbols="true" defaultGridColor="true" view="normal" topLeftCell="A324" colorId="64" zoomScale="70" zoomScaleNormal="70" zoomScalePageLayoutView="100" workbookViewId="0">
      <selection pane="topLeft" activeCell="AE329" activeCellId="0" sqref="AE329"/>
    </sheetView>
  </sheetViews>
  <sheetFormatPr defaultColWidth="10.8515625" defaultRowHeight="19.5" zeroHeight="false" outlineLevelRow="0" outlineLevelCol="0"/>
  <cols>
    <col collapsed="false" customWidth="true" hidden="false" outlineLevel="0" max="48" min="1" style="35" width="4.42"/>
    <col collapsed="false" customWidth="true" hidden="false" outlineLevel="0" max="49" min="49" style="36" width="3.85"/>
    <col collapsed="false" customWidth="true" hidden="false" outlineLevel="0" max="66" min="50" style="35" width="4.42"/>
    <col collapsed="false" customWidth="false" hidden="false" outlineLevel="0" max="257" min="67" style="35" width="10.85"/>
  </cols>
  <sheetData>
    <row r="3" customFormat="false" ht="19.5" hidden="false" customHeight="false" outlineLevel="0" collapsed="false">
      <c r="BJ3" s="37"/>
      <c r="BK3" s="37"/>
      <c r="BL3" s="37"/>
      <c r="BM3" s="37"/>
      <c r="BN3" s="37"/>
      <c r="BO3" s="37"/>
      <c r="BP3" s="37"/>
      <c r="BQ3" s="37"/>
      <c r="BR3" s="37"/>
      <c r="BS3" s="37"/>
      <c r="BT3" s="37"/>
      <c r="BU3" s="37"/>
    </row>
    <row r="4" customFormat="false" ht="19.5" hidden="false" customHeight="false" outlineLevel="0" collapsed="false">
      <c r="BJ4" s="37"/>
      <c r="BK4" s="37"/>
      <c r="BL4" s="37"/>
      <c r="BM4" s="37"/>
      <c r="BN4" s="37"/>
      <c r="BO4" s="37"/>
      <c r="BP4" s="37"/>
      <c r="BQ4" s="37"/>
      <c r="BR4" s="37"/>
      <c r="BS4" s="37"/>
      <c r="BT4" s="37"/>
      <c r="BU4" s="37"/>
    </row>
    <row r="5" customFormat="false" ht="19.5" hidden="false" customHeight="false" outlineLevel="0" collapsed="false">
      <c r="BJ5" s="37"/>
      <c r="BK5" s="37"/>
      <c r="BL5" s="37"/>
      <c r="BM5" s="37"/>
      <c r="BN5" s="37"/>
      <c r="BO5" s="37"/>
      <c r="BP5" s="37"/>
      <c r="BQ5" s="37"/>
      <c r="BR5" s="37"/>
      <c r="BS5" s="37"/>
      <c r="BT5" s="37"/>
      <c r="BU5" s="37"/>
    </row>
    <row r="6" customFormat="false" ht="20.25" hidden="false" customHeight="false" outlineLevel="0" collapsed="false">
      <c r="B6" s="38" t="s">
        <v>1636</v>
      </c>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BJ6" s="37"/>
      <c r="BK6" s="37"/>
      <c r="BL6" s="37"/>
      <c r="BM6" s="37"/>
      <c r="BN6" s="37"/>
      <c r="BO6" s="37"/>
      <c r="BP6" s="37"/>
      <c r="BQ6" s="37"/>
      <c r="BR6" s="37"/>
      <c r="BS6" s="37"/>
      <c r="BT6" s="37"/>
      <c r="BU6" s="37"/>
    </row>
    <row r="7" customFormat="false" ht="19.5" hidden="false" customHeight="false" outlineLevel="0" collapsed="false">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BJ7" s="37"/>
      <c r="BK7" s="37"/>
      <c r="BL7" s="37"/>
      <c r="BM7" s="37"/>
      <c r="BN7" s="37"/>
      <c r="BO7" s="37"/>
      <c r="BP7" s="37"/>
      <c r="BQ7" s="37"/>
      <c r="BR7" s="37"/>
      <c r="BS7" s="37"/>
      <c r="BT7" s="37"/>
      <c r="BU7" s="37"/>
    </row>
    <row r="8" customFormat="false" ht="30" hidden="false" customHeight="true" outlineLevel="0" collapsed="false">
      <c r="B8" s="40" t="s">
        <v>1637</v>
      </c>
      <c r="C8" s="40"/>
      <c r="D8" s="40"/>
      <c r="E8" s="40"/>
      <c r="F8" s="40"/>
      <c r="G8" s="40"/>
      <c r="H8" s="40"/>
      <c r="I8" s="40"/>
      <c r="J8" s="40"/>
      <c r="K8" s="40"/>
      <c r="L8" s="40"/>
      <c r="M8" s="40"/>
      <c r="N8" s="40"/>
      <c r="O8" s="40"/>
      <c r="P8" s="40"/>
      <c r="Q8" s="40"/>
      <c r="R8" s="40"/>
      <c r="S8" s="40"/>
      <c r="T8" s="41"/>
      <c r="U8" s="41"/>
      <c r="V8" s="41"/>
      <c r="W8" s="41"/>
      <c r="X8" s="41"/>
      <c r="Y8" s="41"/>
      <c r="Z8" s="41"/>
      <c r="AA8" s="41"/>
      <c r="AB8" s="41"/>
      <c r="AC8" s="41"/>
      <c r="AD8" s="41"/>
      <c r="AE8" s="41"/>
      <c r="AF8" s="41"/>
      <c r="AG8" s="41"/>
      <c r="AH8" s="41"/>
      <c r="AI8" s="41"/>
      <c r="AJ8" s="41"/>
      <c r="AK8" s="41"/>
      <c r="AL8" s="41"/>
      <c r="AM8" s="41"/>
      <c r="AN8" s="41"/>
      <c r="AO8" s="41"/>
      <c r="BJ8" s="37"/>
      <c r="BK8" s="37"/>
      <c r="BL8" s="37"/>
      <c r="BM8" s="37"/>
      <c r="BN8" s="37"/>
      <c r="BO8" s="37"/>
      <c r="BP8" s="37"/>
      <c r="BQ8" s="37"/>
      <c r="BR8" s="37"/>
      <c r="BS8" s="37"/>
      <c r="BT8" s="37"/>
      <c r="BU8" s="37"/>
    </row>
    <row r="9" customFormat="false" ht="32.25" hidden="false" customHeight="true" outlineLevel="0" collapsed="false">
      <c r="B9" s="40" t="s">
        <v>1638</v>
      </c>
      <c r="C9" s="40"/>
      <c r="D9" s="40"/>
      <c r="E9" s="40"/>
      <c r="F9" s="40"/>
      <c r="G9" s="40"/>
      <c r="H9" s="40"/>
      <c r="I9" s="40"/>
      <c r="J9" s="40"/>
      <c r="K9" s="40"/>
      <c r="L9" s="40"/>
      <c r="M9" s="40"/>
      <c r="N9" s="40"/>
      <c r="O9" s="40"/>
      <c r="P9" s="40"/>
      <c r="Q9" s="40"/>
      <c r="R9" s="40"/>
      <c r="S9" s="40"/>
      <c r="T9" s="42"/>
      <c r="U9" s="42"/>
      <c r="V9" s="42"/>
      <c r="W9" s="42"/>
      <c r="X9" s="42"/>
      <c r="Y9" s="42"/>
      <c r="Z9" s="42"/>
      <c r="AA9" s="42"/>
      <c r="AB9" s="42"/>
      <c r="AC9" s="42"/>
      <c r="AD9" s="42"/>
      <c r="AE9" s="42"/>
      <c r="AF9" s="42"/>
      <c r="AG9" s="42"/>
      <c r="AH9" s="42"/>
      <c r="AI9" s="42"/>
      <c r="AJ9" s="42"/>
      <c r="AK9" s="42"/>
      <c r="AL9" s="42"/>
      <c r="AM9" s="42"/>
      <c r="AN9" s="42"/>
      <c r="AO9" s="42"/>
      <c r="BJ9" s="37"/>
      <c r="BK9" s="37"/>
      <c r="BL9" s="37"/>
      <c r="BM9" s="37"/>
      <c r="BN9" s="37"/>
      <c r="BO9" s="37"/>
      <c r="BP9" s="37"/>
      <c r="BQ9" s="37"/>
      <c r="BR9" s="37"/>
      <c r="BS9" s="37"/>
      <c r="BT9" s="37"/>
      <c r="BU9" s="37"/>
    </row>
    <row r="10" customFormat="false" ht="32.25" hidden="false" customHeight="true" outlineLevel="0" collapsed="false">
      <c r="B10" s="40" t="s">
        <v>1639</v>
      </c>
      <c r="C10" s="40"/>
      <c r="D10" s="40"/>
      <c r="E10" s="40"/>
      <c r="F10" s="40"/>
      <c r="G10" s="40"/>
      <c r="H10" s="40"/>
      <c r="I10" s="40"/>
      <c r="J10" s="40"/>
      <c r="K10" s="40"/>
      <c r="L10" s="40"/>
      <c r="M10" s="40"/>
      <c r="N10" s="40"/>
      <c r="O10" s="40"/>
      <c r="P10" s="40"/>
      <c r="Q10" s="40"/>
      <c r="R10" s="40"/>
      <c r="S10" s="40"/>
      <c r="T10" s="43"/>
      <c r="U10" s="43"/>
      <c r="V10" s="43"/>
      <c r="W10" s="43"/>
      <c r="X10" s="43"/>
      <c r="Y10" s="43"/>
      <c r="Z10" s="43"/>
      <c r="AA10" s="43"/>
      <c r="AB10" s="43"/>
      <c r="AC10" s="43"/>
      <c r="AD10" s="43"/>
      <c r="AE10" s="43"/>
      <c r="AF10" s="43"/>
      <c r="AG10" s="43"/>
      <c r="AH10" s="43"/>
      <c r="AI10" s="43"/>
      <c r="AJ10" s="43"/>
      <c r="AK10" s="43"/>
      <c r="AL10" s="43"/>
      <c r="AM10" s="43"/>
      <c r="AN10" s="43"/>
      <c r="AO10" s="43"/>
      <c r="BJ10" s="37"/>
      <c r="BK10" s="37"/>
      <c r="BL10" s="37"/>
      <c r="BM10" s="37"/>
      <c r="BN10" s="37"/>
      <c r="BO10" s="37"/>
      <c r="BP10" s="37"/>
      <c r="BQ10" s="37"/>
      <c r="BR10" s="37"/>
      <c r="BS10" s="37"/>
      <c r="BT10" s="37"/>
      <c r="BU10" s="37"/>
    </row>
    <row r="11" customFormat="false" ht="19.5" hidden="false" customHeight="false" outlineLevel="0" collapsed="false">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BJ11" s="37"/>
      <c r="BK11" s="37"/>
      <c r="BL11" s="37"/>
      <c r="BM11" s="37"/>
      <c r="BN11" s="37"/>
      <c r="BO11" s="37"/>
      <c r="BP11" s="37"/>
      <c r="BQ11" s="37"/>
      <c r="BR11" s="37"/>
      <c r="BS11" s="37"/>
      <c r="BT11" s="37"/>
      <c r="BU11" s="37"/>
    </row>
    <row r="12" customFormat="false" ht="67.5" hidden="false" customHeight="true" outlineLevel="0" collapsed="false">
      <c r="B12" s="44" t="s">
        <v>1640</v>
      </c>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BJ12" s="37"/>
      <c r="BK12" s="37"/>
      <c r="BL12" s="37"/>
      <c r="BM12" s="45" t="s">
        <v>1641</v>
      </c>
      <c r="BN12" s="45" t="s">
        <v>1642</v>
      </c>
      <c r="BO12" s="45" t="s">
        <v>1643</v>
      </c>
      <c r="BP12" s="45"/>
      <c r="BQ12" s="45"/>
      <c r="BR12" s="37"/>
      <c r="BS12" s="37"/>
      <c r="BT12" s="37"/>
      <c r="BU12" s="37"/>
    </row>
    <row r="13" customFormat="false" ht="20.25" hidden="false" customHeight="false" outlineLevel="0" collapsed="false">
      <c r="BJ13" s="37"/>
      <c r="BK13" s="37"/>
      <c r="BL13" s="37"/>
      <c r="BM13" s="45" t="s">
        <v>1644</v>
      </c>
      <c r="BN13" s="45" t="s">
        <v>1645</v>
      </c>
      <c r="BO13" s="45" t="s">
        <v>1646</v>
      </c>
      <c r="BP13" s="45"/>
      <c r="BQ13" s="45"/>
      <c r="BR13" s="37"/>
      <c r="BS13" s="37"/>
      <c r="BT13" s="37"/>
      <c r="BU13" s="37"/>
    </row>
    <row r="14" customFormat="false" ht="37.5" hidden="false" customHeight="true" outlineLevel="0" collapsed="false">
      <c r="B14" s="46" t="s">
        <v>1647</v>
      </c>
      <c r="C14" s="46"/>
      <c r="D14" s="46"/>
      <c r="E14" s="46"/>
      <c r="F14" s="46"/>
      <c r="G14" s="46"/>
      <c r="H14" s="46"/>
      <c r="I14" s="46"/>
      <c r="J14" s="46"/>
      <c r="K14" s="46"/>
      <c r="L14" s="46"/>
      <c r="M14" s="46"/>
      <c r="N14" s="46"/>
      <c r="O14" s="46"/>
      <c r="P14" s="46"/>
      <c r="Q14" s="46"/>
      <c r="T14" s="46" t="s">
        <v>1648</v>
      </c>
      <c r="U14" s="46"/>
      <c r="V14" s="46"/>
      <c r="W14" s="46"/>
      <c r="X14" s="46"/>
      <c r="Y14" s="46"/>
      <c r="Z14" s="46"/>
      <c r="AA14" s="47"/>
      <c r="AB14" s="47"/>
      <c r="AC14" s="46" t="s">
        <v>1649</v>
      </c>
      <c r="AD14" s="46"/>
      <c r="AE14" s="46"/>
      <c r="AF14" s="46"/>
      <c r="AG14" s="46"/>
      <c r="AH14" s="46"/>
      <c r="AI14" s="46"/>
      <c r="AJ14" s="46"/>
      <c r="AK14" s="46"/>
      <c r="AL14" s="46"/>
      <c r="AM14" s="46"/>
      <c r="AN14" s="46"/>
      <c r="AO14" s="46"/>
      <c r="BJ14" s="37"/>
      <c r="BK14" s="37"/>
      <c r="BL14" s="37"/>
      <c r="BM14" s="45"/>
      <c r="BN14" s="45"/>
      <c r="BO14" s="45"/>
      <c r="BP14" s="45"/>
      <c r="BQ14" s="45"/>
      <c r="BR14" s="37"/>
      <c r="BS14" s="37"/>
      <c r="BT14" s="37"/>
      <c r="BU14" s="37"/>
    </row>
    <row r="15" customFormat="false" ht="21.7" hidden="false" customHeight="true" outlineLevel="0" collapsed="false">
      <c r="B15" s="48" t="s">
        <v>1650</v>
      </c>
      <c r="C15" s="48"/>
      <c r="D15" s="48"/>
      <c r="E15" s="48"/>
      <c r="F15" s="48"/>
      <c r="G15" s="48"/>
      <c r="H15" s="48"/>
      <c r="I15" s="48"/>
      <c r="J15" s="48"/>
      <c r="K15" s="48"/>
      <c r="L15" s="48"/>
      <c r="M15" s="48"/>
      <c r="N15" s="48"/>
      <c r="O15" s="48"/>
      <c r="P15" s="48"/>
      <c r="Q15" s="48"/>
      <c r="T15" s="49" t="s">
        <v>1642</v>
      </c>
      <c r="U15" s="49"/>
      <c r="V15" s="49"/>
      <c r="W15" s="49"/>
      <c r="X15" s="49"/>
      <c r="Y15" s="49"/>
      <c r="Z15" s="49"/>
      <c r="AC15" s="50" t="n">
        <v>8026979</v>
      </c>
      <c r="AD15" s="50"/>
      <c r="AE15" s="50"/>
      <c r="AF15" s="50"/>
      <c r="AG15" s="50"/>
      <c r="AH15" s="50"/>
      <c r="AI15" s="50"/>
      <c r="AJ15" s="50"/>
      <c r="AK15" s="50"/>
      <c r="AL15" s="50"/>
      <c r="AM15" s="50"/>
      <c r="AN15" s="50"/>
      <c r="AO15" s="50"/>
      <c r="BJ15" s="37"/>
      <c r="BK15" s="37"/>
      <c r="BL15" s="37"/>
      <c r="BM15" s="45"/>
      <c r="BN15" s="45"/>
      <c r="BO15" s="45"/>
      <c r="BP15" s="45"/>
      <c r="BQ15" s="45"/>
      <c r="BR15" s="37"/>
      <c r="BS15" s="37"/>
      <c r="BT15" s="37"/>
      <c r="BU15" s="37"/>
    </row>
    <row r="16" customFormat="false" ht="20.25" hidden="false" customHeight="false" outlineLevel="0" collapsed="false">
      <c r="B16" s="48"/>
      <c r="C16" s="48"/>
      <c r="D16" s="48"/>
      <c r="E16" s="48"/>
      <c r="F16" s="48"/>
      <c r="G16" s="48"/>
      <c r="H16" s="48"/>
      <c r="I16" s="48"/>
      <c r="J16" s="48"/>
      <c r="K16" s="48"/>
      <c r="L16" s="48"/>
      <c r="M16" s="48"/>
      <c r="N16" s="48"/>
      <c r="O16" s="48"/>
      <c r="P16" s="48"/>
      <c r="Q16" s="48"/>
      <c r="T16" s="49"/>
      <c r="U16" s="49"/>
      <c r="V16" s="49"/>
      <c r="W16" s="49"/>
      <c r="X16" s="49"/>
      <c r="Y16" s="49"/>
      <c r="Z16" s="49"/>
      <c r="AC16" s="50"/>
      <c r="AD16" s="50"/>
      <c r="AE16" s="50"/>
      <c r="AF16" s="50"/>
      <c r="AG16" s="50"/>
      <c r="AH16" s="50"/>
      <c r="AI16" s="50"/>
      <c r="AJ16" s="50"/>
      <c r="AK16" s="50"/>
      <c r="AL16" s="50"/>
      <c r="AM16" s="50"/>
      <c r="AN16" s="50"/>
      <c r="AO16" s="50"/>
      <c r="BC16" s="35" t="s">
        <v>1651</v>
      </c>
      <c r="BJ16" s="37"/>
      <c r="BK16" s="37"/>
      <c r="BL16" s="37"/>
      <c r="BM16" s="45" t="s">
        <v>1652</v>
      </c>
      <c r="BN16" s="45"/>
      <c r="BO16" s="45"/>
      <c r="BP16" s="45"/>
      <c r="BQ16" s="51" t="s">
        <v>1653</v>
      </c>
      <c r="BR16" s="37"/>
      <c r="BS16" s="37"/>
      <c r="BT16" s="37"/>
      <c r="BU16" s="37"/>
    </row>
    <row r="17" customFormat="false" ht="20.25" hidden="false" customHeight="false" outlineLevel="0" collapsed="false">
      <c r="BJ17" s="37"/>
      <c r="BK17" s="37"/>
      <c r="BL17" s="37"/>
      <c r="BM17" s="45" t="s">
        <v>1654</v>
      </c>
      <c r="BN17" s="45"/>
      <c r="BO17" s="45"/>
      <c r="BP17" s="45"/>
      <c r="BQ17" s="51" t="s">
        <v>1655</v>
      </c>
      <c r="BR17" s="37"/>
      <c r="BS17" s="37"/>
      <c r="BT17" s="37"/>
      <c r="BU17" s="37"/>
    </row>
    <row r="18" customFormat="false" ht="20.25" hidden="false" customHeight="true" outlineLevel="0" collapsed="false">
      <c r="B18" s="46" t="s">
        <v>1656</v>
      </c>
      <c r="C18" s="46"/>
      <c r="D18" s="46"/>
      <c r="E18" s="46"/>
      <c r="F18" s="46"/>
      <c r="G18" s="46"/>
      <c r="H18" s="46"/>
      <c r="I18" s="46"/>
      <c r="J18" s="46"/>
      <c r="K18" s="46"/>
      <c r="L18" s="46"/>
      <c r="M18" s="46"/>
      <c r="N18" s="46"/>
      <c r="O18" s="46"/>
      <c r="P18" s="46"/>
      <c r="Q18" s="46"/>
      <c r="T18" s="46" t="s">
        <v>1657</v>
      </c>
      <c r="U18" s="46"/>
      <c r="V18" s="46"/>
      <c r="W18" s="46"/>
      <c r="X18" s="46"/>
      <c r="Y18" s="46"/>
      <c r="Z18" s="46"/>
      <c r="AC18" s="46" t="s">
        <v>1658</v>
      </c>
      <c r="AD18" s="46"/>
      <c r="AE18" s="46"/>
      <c r="AF18" s="46"/>
      <c r="AG18" s="46"/>
      <c r="AH18" s="46"/>
      <c r="AI18" s="46"/>
      <c r="AJ18" s="46"/>
      <c r="AK18" s="46"/>
      <c r="AL18" s="46"/>
      <c r="AM18" s="46"/>
      <c r="AN18" s="46"/>
      <c r="AO18" s="46"/>
      <c r="BJ18" s="37"/>
      <c r="BK18" s="37"/>
      <c r="BL18" s="37"/>
      <c r="BM18" s="45" t="s">
        <v>1659</v>
      </c>
      <c r="BN18" s="45"/>
      <c r="BO18" s="45"/>
      <c r="BP18" s="45"/>
      <c r="BQ18" s="51" t="s">
        <v>1660</v>
      </c>
      <c r="BR18" s="37"/>
      <c r="BS18" s="37"/>
      <c r="BT18" s="37"/>
      <c r="BU18" s="37"/>
    </row>
    <row r="19" customFormat="false" ht="21.7" hidden="false" customHeight="true" outlineLevel="0" collapsed="false">
      <c r="B19" s="52" t="s">
        <v>1661</v>
      </c>
      <c r="C19" s="52"/>
      <c r="D19" s="52"/>
      <c r="E19" s="52"/>
      <c r="F19" s="52"/>
      <c r="G19" s="52"/>
      <c r="H19" s="52"/>
      <c r="I19" s="52"/>
      <c r="J19" s="52"/>
      <c r="K19" s="52"/>
      <c r="L19" s="52"/>
      <c r="M19" s="52"/>
      <c r="N19" s="52"/>
      <c r="O19" s="52"/>
      <c r="P19" s="52"/>
      <c r="Q19" s="52"/>
      <c r="T19" s="49" t="s">
        <v>1</v>
      </c>
      <c r="U19" s="49"/>
      <c r="V19" s="49"/>
      <c r="W19" s="49"/>
      <c r="X19" s="49"/>
      <c r="Y19" s="49"/>
      <c r="Z19" s="49"/>
      <c r="AC19" s="48" t="s">
        <v>894</v>
      </c>
      <c r="AD19" s="48"/>
      <c r="AE19" s="48"/>
      <c r="AF19" s="48"/>
      <c r="AG19" s="48"/>
      <c r="AH19" s="48"/>
      <c r="AI19" s="48"/>
      <c r="AJ19" s="48"/>
      <c r="AK19" s="48"/>
      <c r="AL19" s="48"/>
      <c r="AM19" s="48"/>
      <c r="AN19" s="48"/>
      <c r="AO19" s="48"/>
      <c r="BJ19" s="37"/>
      <c r="BK19" s="37"/>
      <c r="BL19" s="37"/>
      <c r="BM19" s="45"/>
      <c r="BN19" s="45"/>
      <c r="BO19" s="45"/>
      <c r="BP19" s="45"/>
      <c r="BQ19" s="51" t="s">
        <v>1662</v>
      </c>
      <c r="BR19" s="37"/>
      <c r="BS19" s="37"/>
      <c r="BT19" s="37"/>
      <c r="BU19" s="37"/>
    </row>
    <row r="20" customFormat="false" ht="20.25" hidden="false" customHeight="false" outlineLevel="0" collapsed="false">
      <c r="B20" s="52"/>
      <c r="C20" s="52"/>
      <c r="D20" s="52"/>
      <c r="E20" s="52"/>
      <c r="F20" s="52"/>
      <c r="G20" s="52"/>
      <c r="H20" s="52"/>
      <c r="I20" s="52"/>
      <c r="J20" s="52"/>
      <c r="K20" s="52"/>
      <c r="L20" s="52"/>
      <c r="M20" s="52"/>
      <c r="N20" s="52"/>
      <c r="O20" s="52"/>
      <c r="P20" s="52"/>
      <c r="Q20" s="52"/>
      <c r="T20" s="49"/>
      <c r="U20" s="49"/>
      <c r="V20" s="49"/>
      <c r="W20" s="49"/>
      <c r="X20" s="49"/>
      <c r="Y20" s="49"/>
      <c r="Z20" s="49"/>
      <c r="AC20" s="48"/>
      <c r="AD20" s="48"/>
      <c r="AE20" s="48"/>
      <c r="AF20" s="48"/>
      <c r="AG20" s="48"/>
      <c r="AH20" s="48"/>
      <c r="AI20" s="48"/>
      <c r="AJ20" s="48"/>
      <c r="AK20" s="48"/>
      <c r="AL20" s="48"/>
      <c r="AM20" s="48"/>
      <c r="AN20" s="48"/>
      <c r="AO20" s="48"/>
      <c r="BJ20" s="37"/>
      <c r="BK20" s="37"/>
      <c r="BL20" s="37"/>
      <c r="BM20" s="45" t="s">
        <v>1663</v>
      </c>
      <c r="BN20" s="45"/>
      <c r="BO20" s="45"/>
      <c r="BP20" s="45"/>
      <c r="BQ20" s="51" t="s">
        <v>1664</v>
      </c>
      <c r="BR20" s="37"/>
      <c r="BS20" s="37"/>
      <c r="BT20" s="37"/>
      <c r="BU20" s="37"/>
    </row>
    <row r="21" customFormat="false" ht="20.25" hidden="false" customHeight="false" outlineLevel="0" collapsed="false">
      <c r="BJ21" s="37"/>
      <c r="BK21" s="37"/>
      <c r="BL21" s="37"/>
      <c r="BM21" s="45" t="s">
        <v>1665</v>
      </c>
      <c r="BN21" s="45"/>
      <c r="BO21" s="45"/>
      <c r="BP21" s="45"/>
      <c r="BQ21" s="51" t="s">
        <v>1666</v>
      </c>
      <c r="BR21" s="37"/>
      <c r="BS21" s="37"/>
      <c r="BT21" s="37"/>
      <c r="BU21" s="37"/>
    </row>
    <row r="22" customFormat="false" ht="125.25" hidden="false" customHeight="true" outlineLevel="0" collapsed="false">
      <c r="B22" s="53" t="s">
        <v>1667</v>
      </c>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BJ22" s="37"/>
      <c r="BK22" s="37"/>
      <c r="BL22" s="37"/>
      <c r="BM22" s="45"/>
      <c r="BN22" s="45"/>
      <c r="BO22" s="45"/>
      <c r="BP22" s="45"/>
      <c r="BQ22" s="51"/>
      <c r="BR22" s="37"/>
      <c r="BS22" s="37"/>
      <c r="BT22" s="37"/>
      <c r="BU22" s="37"/>
    </row>
    <row r="23" customFormat="false" ht="23.25" hidden="false" customHeight="true" outlineLevel="0" collapsed="false">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BJ23" s="37"/>
      <c r="BK23" s="37"/>
      <c r="BL23" s="37"/>
      <c r="BM23" s="45"/>
      <c r="BN23" s="45"/>
      <c r="BO23" s="45"/>
      <c r="BP23" s="45"/>
      <c r="BQ23" s="51"/>
      <c r="BR23" s="37"/>
      <c r="BS23" s="37"/>
      <c r="BT23" s="37"/>
      <c r="BU23" s="37"/>
    </row>
    <row r="24" customFormat="false" ht="66.75" hidden="false" customHeight="true" outlineLevel="0" collapsed="false">
      <c r="B24" s="46" t="s">
        <v>1668</v>
      </c>
      <c r="C24" s="46"/>
      <c r="D24" s="46"/>
      <c r="E24" s="46"/>
      <c r="F24" s="46"/>
      <c r="G24" s="46"/>
      <c r="H24" s="46"/>
      <c r="I24" s="46"/>
      <c r="J24" s="46"/>
      <c r="L24" s="46" t="s">
        <v>1669</v>
      </c>
      <c r="M24" s="46"/>
      <c r="N24" s="46"/>
      <c r="O24" s="46"/>
      <c r="P24" s="46"/>
      <c r="Q24" s="46"/>
      <c r="R24" s="46"/>
      <c r="S24" s="46"/>
      <c r="T24" s="46"/>
      <c r="U24" s="46"/>
      <c r="V24" s="46"/>
      <c r="W24" s="46"/>
      <c r="X24" s="46"/>
      <c r="Z24" s="46" t="s">
        <v>1670</v>
      </c>
      <c r="AA24" s="46"/>
      <c r="AB24" s="46"/>
      <c r="AC24" s="46"/>
      <c r="AD24" s="46"/>
      <c r="AE24" s="46"/>
      <c r="AF24" s="46"/>
      <c r="AG24" s="46"/>
      <c r="AH24" s="46"/>
      <c r="AI24" s="46"/>
      <c r="AJ24" s="46"/>
      <c r="AK24" s="46"/>
      <c r="AL24" s="46"/>
      <c r="AM24" s="46"/>
      <c r="AN24" s="46"/>
      <c r="AO24" s="46"/>
      <c r="BJ24" s="37"/>
      <c r="BK24" s="37"/>
      <c r="BL24" s="37"/>
      <c r="BM24" s="45"/>
      <c r="BN24" s="45"/>
      <c r="BO24" s="45"/>
      <c r="BP24" s="45"/>
      <c r="BQ24" s="51"/>
      <c r="BR24" s="37"/>
      <c r="BS24" s="37"/>
      <c r="BT24" s="37"/>
      <c r="BU24" s="37"/>
    </row>
    <row r="25" customFormat="false" ht="20.45" hidden="false" customHeight="true" outlineLevel="0" collapsed="false">
      <c r="B25" s="55" t="s">
        <v>1065</v>
      </c>
      <c r="C25" s="55"/>
      <c r="D25" s="55"/>
      <c r="E25" s="55"/>
      <c r="F25" s="55"/>
      <c r="G25" s="55"/>
      <c r="H25" s="55"/>
      <c r="I25" s="55"/>
      <c r="J25" s="55"/>
      <c r="L25" s="55" t="s">
        <v>1081</v>
      </c>
      <c r="M25" s="55"/>
      <c r="N25" s="55"/>
      <c r="O25" s="55"/>
      <c r="P25" s="55"/>
      <c r="Q25" s="55"/>
      <c r="R25" s="55"/>
      <c r="S25" s="55"/>
      <c r="T25" s="55"/>
      <c r="U25" s="55"/>
      <c r="V25" s="55"/>
      <c r="W25" s="55"/>
      <c r="X25" s="55"/>
      <c r="Z25" s="55" t="s">
        <v>1415</v>
      </c>
      <c r="AA25" s="55"/>
      <c r="AB25" s="55"/>
      <c r="AC25" s="55"/>
      <c r="AD25" s="55"/>
      <c r="AE25" s="55"/>
      <c r="AF25" s="55"/>
      <c r="AG25" s="55"/>
      <c r="AH25" s="55"/>
      <c r="AI25" s="55"/>
      <c r="AJ25" s="55"/>
      <c r="AK25" s="55"/>
      <c r="AL25" s="55"/>
      <c r="AM25" s="55"/>
      <c r="AN25" s="55"/>
      <c r="AO25" s="55"/>
      <c r="BJ25" s="37"/>
      <c r="BK25" s="37"/>
      <c r="BL25" s="37"/>
      <c r="BM25" s="45"/>
      <c r="BN25" s="45"/>
      <c r="BO25" s="45"/>
      <c r="BP25" s="45"/>
      <c r="BQ25" s="51"/>
      <c r="BR25" s="37"/>
      <c r="BS25" s="37"/>
      <c r="BT25" s="37"/>
      <c r="BU25" s="37"/>
    </row>
    <row r="26" customFormat="false" ht="20.25" hidden="false" customHeight="false" outlineLevel="0" collapsed="false">
      <c r="B26" s="55"/>
      <c r="C26" s="55"/>
      <c r="D26" s="55"/>
      <c r="E26" s="55"/>
      <c r="F26" s="55"/>
      <c r="G26" s="55"/>
      <c r="H26" s="55"/>
      <c r="I26" s="55"/>
      <c r="J26" s="55"/>
      <c r="L26" s="55"/>
      <c r="M26" s="55"/>
      <c r="N26" s="55"/>
      <c r="O26" s="55"/>
      <c r="P26" s="55"/>
      <c r="Q26" s="55"/>
      <c r="R26" s="55"/>
      <c r="S26" s="55"/>
      <c r="T26" s="55"/>
      <c r="U26" s="55"/>
      <c r="V26" s="55"/>
      <c r="W26" s="55"/>
      <c r="X26" s="55"/>
      <c r="Z26" s="55"/>
      <c r="AA26" s="55"/>
      <c r="AB26" s="55"/>
      <c r="AC26" s="55"/>
      <c r="AD26" s="55"/>
      <c r="AE26" s="55"/>
      <c r="AF26" s="55"/>
      <c r="AG26" s="55"/>
      <c r="AH26" s="55"/>
      <c r="AI26" s="55"/>
      <c r="AJ26" s="55"/>
      <c r="AK26" s="55"/>
      <c r="AL26" s="55"/>
      <c r="AM26" s="55"/>
      <c r="AN26" s="55"/>
      <c r="AO26" s="55"/>
      <c r="BJ26" s="37"/>
      <c r="BK26" s="37"/>
      <c r="BL26" s="37"/>
      <c r="BM26" s="45"/>
      <c r="BN26" s="45"/>
      <c r="BO26" s="45"/>
      <c r="BP26" s="45"/>
      <c r="BQ26" s="51"/>
      <c r="BR26" s="37"/>
      <c r="BS26" s="37"/>
      <c r="BT26" s="37"/>
      <c r="BU26" s="37"/>
    </row>
    <row r="27" customFormat="false" ht="20.25" hidden="false" customHeight="false" outlineLevel="0" collapsed="false">
      <c r="BJ27" s="37"/>
      <c r="BK27" s="37"/>
      <c r="BL27" s="37"/>
      <c r="BM27" s="45"/>
      <c r="BN27" s="45"/>
      <c r="BO27" s="45"/>
      <c r="BP27" s="45"/>
      <c r="BQ27" s="51"/>
      <c r="BR27" s="37"/>
      <c r="BS27" s="37"/>
      <c r="BT27" s="37"/>
      <c r="BU27" s="37"/>
    </row>
    <row r="28" customFormat="false" ht="53.1" hidden="false" customHeight="true" outlineLevel="0" collapsed="false">
      <c r="B28" s="56" t="s">
        <v>1671</v>
      </c>
      <c r="C28" s="56"/>
      <c r="D28" s="56"/>
      <c r="E28" s="56"/>
      <c r="F28" s="56"/>
      <c r="G28" s="56"/>
      <c r="H28" s="56"/>
      <c r="I28" s="56"/>
      <c r="J28" s="56"/>
      <c r="K28" s="56"/>
      <c r="L28" s="56"/>
      <c r="M28" s="57" t="s">
        <v>1672</v>
      </c>
      <c r="N28" s="57"/>
      <c r="O28" s="57"/>
      <c r="P28" s="57"/>
      <c r="Q28" s="57"/>
      <c r="R28" s="57"/>
      <c r="S28" s="57"/>
      <c r="T28" s="57"/>
      <c r="U28" s="58" t="s">
        <v>1673</v>
      </c>
      <c r="V28" s="58"/>
      <c r="W28" s="58"/>
      <c r="X28" s="58"/>
      <c r="Y28" s="58"/>
      <c r="Z28" s="58"/>
      <c r="AA28" s="58"/>
      <c r="AB28" s="58"/>
      <c r="AC28" s="58"/>
      <c r="AD28" s="58"/>
      <c r="AE28" s="58"/>
      <c r="AF28" s="58"/>
      <c r="AG28" s="58"/>
      <c r="AH28" s="58"/>
      <c r="AI28" s="58"/>
      <c r="AJ28" s="58"/>
      <c r="AK28" s="58"/>
      <c r="AL28" s="58"/>
      <c r="AM28" s="58"/>
      <c r="AN28" s="59" t="n">
        <f aca="false">+'Integrantes Iniciativa'!F14</f>
        <v>1</v>
      </c>
      <c r="AO28" s="59"/>
      <c r="AP28" s="59"/>
      <c r="AV28" s="37" t="s">
        <v>1641</v>
      </c>
      <c r="BJ28" s="37"/>
      <c r="BK28" s="37"/>
      <c r="BL28" s="37"/>
      <c r="BM28" s="45"/>
      <c r="BN28" s="45"/>
      <c r="BO28" s="45"/>
      <c r="BP28" s="45"/>
      <c r="BQ28" s="51" t="s">
        <v>1674</v>
      </c>
      <c r="BR28" s="37"/>
      <c r="BS28" s="37"/>
      <c r="BT28" s="37"/>
      <c r="BU28" s="37"/>
    </row>
    <row r="29" customFormat="false" ht="20.25" hidden="false" customHeight="false" outlineLevel="0" collapsed="false">
      <c r="AV29" s="37" t="s">
        <v>1644</v>
      </c>
      <c r="BJ29" s="37"/>
      <c r="BK29" s="37"/>
      <c r="BL29" s="37"/>
      <c r="BM29" s="45" t="s">
        <v>1675</v>
      </c>
      <c r="BN29" s="45"/>
      <c r="BO29" s="45"/>
      <c r="BP29" s="45"/>
      <c r="BQ29" s="51" t="s">
        <v>1676</v>
      </c>
      <c r="BR29" s="37"/>
      <c r="BS29" s="37"/>
      <c r="BT29" s="37"/>
      <c r="BU29" s="37"/>
    </row>
    <row r="30" customFormat="false" ht="33.75" hidden="false" customHeight="true" outlineLevel="0" collapsed="false">
      <c r="B30" s="56" t="s">
        <v>1677</v>
      </c>
      <c r="C30" s="56"/>
      <c r="D30" s="56"/>
      <c r="E30" s="56"/>
      <c r="F30" s="56"/>
      <c r="G30" s="56"/>
      <c r="H30" s="56"/>
      <c r="I30" s="56"/>
      <c r="J30" s="56"/>
      <c r="K30" s="56"/>
      <c r="L30" s="56"/>
      <c r="M30" s="56"/>
      <c r="N30" s="56"/>
      <c r="O30" s="56"/>
      <c r="P30" s="56"/>
      <c r="Q30" s="56"/>
      <c r="R30" s="48" t="s">
        <v>1641</v>
      </c>
      <c r="S30" s="48"/>
      <c r="T30" s="48"/>
      <c r="BJ30" s="37"/>
      <c r="BK30" s="37"/>
      <c r="BL30" s="37"/>
      <c r="BM30" s="45" t="s">
        <v>1678</v>
      </c>
      <c r="BN30" s="45"/>
      <c r="BO30" s="45"/>
      <c r="BP30" s="45"/>
      <c r="BQ30" s="51" t="s">
        <v>1679</v>
      </c>
      <c r="BR30" s="37"/>
      <c r="BS30" s="37"/>
      <c r="BT30" s="37"/>
      <c r="BU30" s="37"/>
    </row>
    <row r="31" customFormat="false" ht="20.25" hidden="false" customHeight="false" outlineLevel="0" collapsed="false">
      <c r="BJ31" s="37"/>
      <c r="BK31" s="37"/>
      <c r="BL31" s="37"/>
      <c r="BM31" s="45" t="s">
        <v>1680</v>
      </c>
      <c r="BN31" s="45"/>
      <c r="BO31" s="45"/>
      <c r="BP31" s="45"/>
      <c r="BQ31" s="51" t="s">
        <v>1681</v>
      </c>
      <c r="BR31" s="37"/>
      <c r="BS31" s="37"/>
      <c r="BT31" s="37"/>
      <c r="BU31" s="37"/>
    </row>
    <row r="32" customFormat="false" ht="269.45" hidden="false" customHeight="true" outlineLevel="0" collapsed="false">
      <c r="A32" s="60" t="s">
        <v>1682</v>
      </c>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1"/>
      <c r="AJ32" s="61"/>
      <c r="AK32" s="61"/>
      <c r="AL32" s="61"/>
      <c r="AM32" s="61"/>
      <c r="AN32" s="61"/>
      <c r="AO32" s="61"/>
      <c r="AP32" s="61"/>
      <c r="AQ32" s="61"/>
      <c r="AR32" s="61"/>
      <c r="BJ32" s="37"/>
      <c r="BK32" s="37"/>
      <c r="BL32" s="37"/>
      <c r="BM32" s="45" t="s">
        <v>1683</v>
      </c>
      <c r="BN32" s="45"/>
      <c r="BO32" s="45"/>
      <c r="BP32" s="45"/>
      <c r="BQ32" s="51" t="s">
        <v>1684</v>
      </c>
      <c r="BR32" s="37"/>
      <c r="BS32" s="37"/>
      <c r="BT32" s="37"/>
      <c r="BU32" s="37"/>
    </row>
    <row r="33" s="63" customFormat="true" ht="31.5" hidden="false" customHeight="true" outlineLevel="0" collapsed="false">
      <c r="A33" s="62" t="s">
        <v>1685</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W33" s="64"/>
      <c r="BJ33" s="65"/>
      <c r="BK33" s="65"/>
      <c r="BL33" s="65"/>
      <c r="BM33" s="45" t="s">
        <v>1686</v>
      </c>
      <c r="BN33" s="45"/>
      <c r="BO33" s="45"/>
      <c r="BP33" s="45"/>
      <c r="BQ33" s="51" t="s">
        <v>1687</v>
      </c>
      <c r="BR33" s="65"/>
      <c r="BS33" s="65"/>
      <c r="BT33" s="65"/>
      <c r="BU33" s="65"/>
    </row>
    <row r="34" s="63" customFormat="true" ht="31.5" hidden="false" customHeight="true" outlineLevel="0" collapsed="false">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W34" s="64"/>
      <c r="BJ34" s="65"/>
      <c r="BK34" s="65"/>
      <c r="BL34" s="65"/>
      <c r="BM34" s="45"/>
      <c r="BN34" s="45"/>
      <c r="BO34" s="45"/>
      <c r="BP34" s="45"/>
      <c r="BQ34" s="51" t="s">
        <v>1688</v>
      </c>
      <c r="BR34" s="65"/>
      <c r="BS34" s="65"/>
      <c r="BT34" s="65"/>
      <c r="BU34" s="65"/>
    </row>
    <row r="35" s="63" customFormat="true" ht="31.5" hidden="false" customHeight="true" outlineLevel="0" collapsed="false">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W35" s="64"/>
      <c r="BJ35" s="65"/>
      <c r="BK35" s="65"/>
      <c r="BL35" s="65"/>
      <c r="BM35" s="45" t="n">
        <v>1</v>
      </c>
      <c r="BN35" s="45"/>
      <c r="BO35" s="45"/>
      <c r="BP35" s="45"/>
      <c r="BQ35" s="51" t="s">
        <v>1689</v>
      </c>
      <c r="BR35" s="65"/>
      <c r="BS35" s="65"/>
      <c r="BT35" s="65"/>
      <c r="BU35" s="65"/>
    </row>
    <row r="36" s="63" customFormat="true" ht="31.5" hidden="false" customHeight="true" outlineLevel="0" collapsed="false">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W36" s="64"/>
      <c r="BJ36" s="65"/>
      <c r="BK36" s="65"/>
      <c r="BL36" s="65"/>
      <c r="BM36" s="45" t="n">
        <v>2</v>
      </c>
      <c r="BN36" s="45"/>
      <c r="BO36" s="45"/>
      <c r="BP36" s="45"/>
      <c r="BQ36" s="51" t="s">
        <v>1690</v>
      </c>
      <c r="BR36" s="65"/>
      <c r="BS36" s="65"/>
      <c r="BT36" s="65"/>
      <c r="BU36" s="65"/>
    </row>
    <row r="37" customFormat="false" ht="20.25" hidden="false" customHeight="false" outlineLevel="0" collapsed="false">
      <c r="BJ37" s="37"/>
      <c r="BK37" s="37"/>
      <c r="BL37" s="37"/>
      <c r="BM37" s="45" t="n">
        <v>3</v>
      </c>
      <c r="BN37" s="45"/>
      <c r="BO37" s="45"/>
      <c r="BP37" s="45"/>
      <c r="BQ37" s="51" t="s">
        <v>1691</v>
      </c>
      <c r="BR37" s="37"/>
      <c r="BS37" s="37"/>
      <c r="BT37" s="37"/>
      <c r="BU37" s="37"/>
    </row>
    <row r="38" customFormat="false" ht="20.25" hidden="false" customHeight="false" outlineLevel="0" collapsed="false">
      <c r="BJ38" s="37"/>
      <c r="BK38" s="37"/>
      <c r="BL38" s="37"/>
      <c r="BM38" s="45" t="n">
        <v>4</v>
      </c>
      <c r="BN38" s="45"/>
      <c r="BO38" s="45"/>
      <c r="BP38" s="45"/>
      <c r="BQ38" s="51" t="s">
        <v>1692</v>
      </c>
      <c r="BR38" s="37"/>
      <c r="BS38" s="37"/>
      <c r="BT38" s="37"/>
      <c r="BU38" s="37"/>
    </row>
    <row r="39" customFormat="false" ht="20.25" hidden="false" customHeight="false" outlineLevel="0" collapsed="false">
      <c r="BJ39" s="37"/>
      <c r="BK39" s="37"/>
      <c r="BL39" s="37"/>
      <c r="BM39" s="45" t="n">
        <v>5</v>
      </c>
      <c r="BN39" s="45"/>
      <c r="BO39" s="45"/>
      <c r="BP39" s="45"/>
      <c r="BQ39" s="51" t="s">
        <v>1693</v>
      </c>
      <c r="BR39" s="37"/>
      <c r="BS39" s="37"/>
      <c r="BT39" s="37"/>
      <c r="BU39" s="37"/>
    </row>
    <row r="40" customFormat="false" ht="20.25" hidden="false" customHeight="false" outlineLevel="0" collapsed="false">
      <c r="BJ40" s="37"/>
      <c r="BK40" s="37"/>
      <c r="BL40" s="37"/>
      <c r="BM40" s="45" t="n">
        <v>6</v>
      </c>
      <c r="BN40" s="45"/>
      <c r="BO40" s="45"/>
      <c r="BP40" s="45"/>
      <c r="BQ40" s="51" t="s">
        <v>1694</v>
      </c>
      <c r="BR40" s="37"/>
      <c r="BS40" s="37"/>
      <c r="BT40" s="37"/>
      <c r="BU40" s="37"/>
    </row>
    <row r="41" customFormat="false" ht="20.25" hidden="false" customHeight="false" outlineLevel="0" collapsed="false">
      <c r="BJ41" s="37"/>
      <c r="BK41" s="37"/>
      <c r="BL41" s="37"/>
      <c r="BM41" s="45" t="n">
        <v>7</v>
      </c>
      <c r="BN41" s="45"/>
      <c r="BO41" s="45"/>
      <c r="BP41" s="45"/>
      <c r="BQ41" s="51" t="s">
        <v>1695</v>
      </c>
      <c r="BR41" s="37"/>
      <c r="BS41" s="37"/>
      <c r="BT41" s="37"/>
      <c r="BU41" s="37"/>
    </row>
    <row r="42" customFormat="false" ht="20.25" hidden="false" customHeight="false" outlineLevel="0" collapsed="false">
      <c r="BJ42" s="37"/>
      <c r="BK42" s="37"/>
      <c r="BL42" s="37"/>
      <c r="BM42" s="45" t="n">
        <v>8</v>
      </c>
      <c r="BN42" s="45"/>
      <c r="BO42" s="45"/>
      <c r="BP42" s="45"/>
      <c r="BQ42" s="51" t="s">
        <v>1696</v>
      </c>
      <c r="BR42" s="37"/>
      <c r="BS42" s="37"/>
      <c r="BT42" s="37"/>
      <c r="BU42" s="37"/>
    </row>
    <row r="43" customFormat="false" ht="20.25" hidden="false" customHeight="false" outlineLevel="0" collapsed="false">
      <c r="BJ43" s="37"/>
      <c r="BK43" s="37"/>
      <c r="BL43" s="37"/>
      <c r="BM43" s="45" t="n">
        <v>9</v>
      </c>
      <c r="BN43" s="45"/>
      <c r="BO43" s="45"/>
      <c r="BP43" s="45"/>
      <c r="BQ43" s="51" t="s">
        <v>1697</v>
      </c>
      <c r="BR43" s="37"/>
      <c r="BS43" s="37"/>
      <c r="BT43" s="37"/>
      <c r="BU43" s="37"/>
    </row>
    <row r="44" customFormat="false" ht="20.25" hidden="false" customHeight="false" outlineLevel="0" collapsed="false">
      <c r="BJ44" s="37"/>
      <c r="BK44" s="37"/>
      <c r="BL44" s="37"/>
      <c r="BM44" s="45" t="n">
        <v>10</v>
      </c>
      <c r="BN44" s="45"/>
      <c r="BO44" s="45"/>
      <c r="BP44" s="45"/>
      <c r="BQ44" s="45"/>
      <c r="BR44" s="37"/>
      <c r="BS44" s="37"/>
      <c r="BT44" s="37"/>
      <c r="BU44" s="37"/>
    </row>
    <row r="45" customFormat="false" ht="20.25" hidden="false" customHeight="false" outlineLevel="0" collapsed="false">
      <c r="BJ45" s="37"/>
      <c r="BK45" s="37"/>
      <c r="BL45" s="37"/>
      <c r="BM45" s="45" t="n">
        <v>11</v>
      </c>
      <c r="BN45" s="45"/>
      <c r="BO45" s="45"/>
      <c r="BP45" s="45"/>
      <c r="BQ45" s="45"/>
      <c r="BR45" s="37"/>
      <c r="BS45" s="37"/>
      <c r="BT45" s="37"/>
      <c r="BU45" s="37"/>
    </row>
    <row r="46" customFormat="false" ht="20.25" hidden="false" customHeight="false" outlineLevel="0" collapsed="false">
      <c r="BJ46" s="37"/>
      <c r="BK46" s="37"/>
      <c r="BL46" s="37"/>
      <c r="BM46" s="45" t="n">
        <v>12</v>
      </c>
      <c r="BN46" s="45"/>
      <c r="BO46" s="45"/>
      <c r="BP46" s="45"/>
      <c r="BQ46" s="45"/>
      <c r="BR46" s="37"/>
      <c r="BS46" s="37"/>
      <c r="BT46" s="37"/>
      <c r="BU46" s="37"/>
    </row>
    <row r="47" customFormat="false" ht="19.5" hidden="false" customHeight="false" outlineLevel="0" collapsed="false">
      <c r="BJ47" s="37"/>
      <c r="BK47" s="37"/>
      <c r="BL47" s="37"/>
      <c r="BM47" s="37"/>
      <c r="BN47" s="37"/>
      <c r="BO47" s="37"/>
      <c r="BP47" s="37"/>
      <c r="BQ47" s="37"/>
      <c r="BR47" s="37"/>
      <c r="BS47" s="37"/>
      <c r="BT47" s="37"/>
      <c r="BU47" s="37"/>
    </row>
    <row r="48" customFormat="false" ht="19.5" hidden="false" customHeight="false" outlineLevel="0" collapsed="false">
      <c r="BJ48" s="37"/>
      <c r="BK48" s="37"/>
      <c r="BL48" s="37"/>
      <c r="BM48" s="37"/>
      <c r="BN48" s="37"/>
      <c r="BO48" s="37"/>
      <c r="BP48" s="37"/>
      <c r="BQ48" s="37"/>
      <c r="BR48" s="37"/>
      <c r="BS48" s="37"/>
      <c r="BT48" s="37"/>
      <c r="BU48" s="37"/>
    </row>
    <row r="49" customFormat="false" ht="19.5" hidden="false" customHeight="false" outlineLevel="0" collapsed="false">
      <c r="BJ49" s="37"/>
      <c r="BK49" s="37"/>
      <c r="BL49" s="37"/>
      <c r="BM49" s="37"/>
      <c r="BN49" s="37"/>
      <c r="BO49" s="37"/>
      <c r="BP49" s="37"/>
      <c r="BQ49" s="37"/>
      <c r="BR49" s="37"/>
      <c r="BS49" s="37"/>
      <c r="BT49" s="37"/>
      <c r="BU49" s="37"/>
    </row>
    <row r="50" customFormat="false" ht="19.5" hidden="false" customHeight="false" outlineLevel="0" collapsed="false">
      <c r="BJ50" s="37"/>
      <c r="BK50" s="37"/>
      <c r="BL50" s="37"/>
      <c r="BM50" s="37"/>
      <c r="BN50" s="37"/>
      <c r="BO50" s="37"/>
      <c r="BP50" s="37"/>
      <c r="BQ50" s="37"/>
      <c r="BR50" s="37"/>
      <c r="BS50" s="37"/>
      <c r="BT50" s="37"/>
      <c r="BU50" s="37"/>
    </row>
    <row r="51" customFormat="false" ht="19.5" hidden="false" customHeight="false" outlineLevel="0" collapsed="false">
      <c r="BJ51" s="37"/>
      <c r="BK51" s="37"/>
      <c r="BL51" s="37"/>
      <c r="BM51" s="37"/>
      <c r="BN51" s="37"/>
      <c r="BO51" s="37"/>
      <c r="BP51" s="37"/>
      <c r="BQ51" s="37"/>
      <c r="BR51" s="37"/>
      <c r="BS51" s="37"/>
      <c r="BT51" s="37"/>
      <c r="BU51" s="37"/>
    </row>
    <row r="52" customFormat="false" ht="19.5" hidden="false" customHeight="false" outlineLevel="0" collapsed="false">
      <c r="BJ52" s="37"/>
      <c r="BK52" s="37"/>
      <c r="BL52" s="37"/>
      <c r="BM52" s="37"/>
      <c r="BN52" s="37"/>
      <c r="BO52" s="37"/>
      <c r="BP52" s="37"/>
      <c r="BQ52" s="37"/>
      <c r="BR52" s="37"/>
      <c r="BS52" s="37"/>
      <c r="BT52" s="37"/>
      <c r="BU52" s="37"/>
    </row>
    <row r="53" customFormat="false" ht="19.5" hidden="false" customHeight="false" outlineLevel="0" collapsed="false">
      <c r="BJ53" s="37"/>
      <c r="BK53" s="37"/>
      <c r="BL53" s="37"/>
      <c r="BM53" s="37"/>
      <c r="BN53" s="37"/>
      <c r="BO53" s="37"/>
      <c r="BP53" s="37"/>
      <c r="BQ53" s="37"/>
      <c r="BR53" s="37"/>
      <c r="BS53" s="37"/>
      <c r="BT53" s="37"/>
      <c r="BU53" s="37"/>
    </row>
    <row r="54" customFormat="false" ht="24" hidden="false" customHeight="false" outlineLevel="0" collapsed="false">
      <c r="A54" s="67" t="s">
        <v>1698</v>
      </c>
      <c r="B54" s="67"/>
      <c r="C54" s="67"/>
      <c r="D54" s="67"/>
      <c r="E54" s="67"/>
      <c r="F54" s="67"/>
      <c r="G54" s="67"/>
      <c r="H54" s="67"/>
      <c r="I54" s="67"/>
      <c r="J54" s="67"/>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BJ54" s="37"/>
      <c r="BK54" s="37"/>
      <c r="BL54" s="37"/>
      <c r="BM54" s="37"/>
      <c r="BN54" s="37"/>
      <c r="BO54" s="37"/>
      <c r="BP54" s="37"/>
      <c r="BQ54" s="37"/>
      <c r="BR54" s="37"/>
      <c r="BS54" s="37"/>
      <c r="BT54" s="37"/>
      <c r="BU54" s="37"/>
    </row>
    <row r="55" customFormat="false" ht="27.75" hidden="false" customHeight="true" outlineLevel="0" collapsed="false">
      <c r="A55" s="69" t="s">
        <v>1699</v>
      </c>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BJ55" s="37"/>
      <c r="BK55" s="37"/>
      <c r="BL55" s="37"/>
      <c r="BM55" s="37"/>
      <c r="BN55" s="37"/>
      <c r="BO55" s="37"/>
      <c r="BP55" s="37"/>
      <c r="BQ55" s="37"/>
      <c r="BR55" s="37"/>
      <c r="BS55" s="37"/>
      <c r="BT55" s="37"/>
      <c r="BU55" s="37"/>
    </row>
    <row r="56" customFormat="false" ht="27.75" hidden="false" customHeight="true" outlineLevel="0" collapsed="false">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BJ56" s="37"/>
      <c r="BK56" s="37"/>
      <c r="BL56" s="37"/>
      <c r="BM56" s="37"/>
      <c r="BN56" s="37"/>
      <c r="BO56" s="37"/>
      <c r="BP56" s="37"/>
      <c r="BQ56" s="37"/>
      <c r="BR56" s="37"/>
      <c r="BS56" s="37"/>
      <c r="BT56" s="37"/>
      <c r="BU56" s="37"/>
    </row>
    <row r="57" customFormat="false" ht="85.5" hidden="false" customHeight="true" outlineLevel="0" collapsed="false">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BJ57" s="37"/>
      <c r="BK57" s="37"/>
      <c r="BL57" s="37"/>
      <c r="BM57" s="37"/>
      <c r="BN57" s="37"/>
      <c r="BO57" s="37"/>
      <c r="BP57" s="37"/>
      <c r="BQ57" s="37"/>
      <c r="BR57" s="37"/>
      <c r="BS57" s="37"/>
      <c r="BT57" s="37"/>
      <c r="BU57" s="37"/>
    </row>
    <row r="58" customFormat="false" ht="26.45" hidden="false" customHeight="true" outlineLevel="0" collapsed="false">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BJ58" s="37"/>
      <c r="BK58" s="37"/>
      <c r="BL58" s="37"/>
      <c r="BM58" s="37"/>
      <c r="BN58" s="37"/>
      <c r="BO58" s="37"/>
      <c r="BP58" s="37"/>
      <c r="BQ58" s="37"/>
      <c r="BR58" s="37"/>
      <c r="BS58" s="37"/>
      <c r="BT58" s="37"/>
      <c r="BU58" s="37"/>
    </row>
    <row r="59" customFormat="false" ht="29.25" hidden="false" customHeight="true" outlineLevel="0" collapsed="false">
      <c r="A59" s="71" t="s">
        <v>1592</v>
      </c>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BJ59" s="37"/>
      <c r="BK59" s="37"/>
      <c r="BL59" s="37"/>
      <c r="BM59" s="37"/>
      <c r="BN59" s="37"/>
      <c r="BO59" s="37"/>
      <c r="BP59" s="37"/>
      <c r="BQ59" s="37"/>
      <c r="BR59" s="37"/>
      <c r="BS59" s="37"/>
      <c r="BT59" s="37"/>
      <c r="BU59" s="37"/>
    </row>
    <row r="60" s="73" customFormat="true" ht="13.5" hidden="false" customHeight="true" outlineLevel="0" collapsed="false">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W60" s="74"/>
      <c r="BJ60" s="75"/>
      <c r="BK60" s="75"/>
      <c r="BL60" s="75"/>
      <c r="BM60" s="75"/>
      <c r="BN60" s="75"/>
      <c r="BO60" s="75"/>
      <c r="BP60" s="75"/>
      <c r="BQ60" s="75"/>
      <c r="BR60" s="75"/>
      <c r="BS60" s="75"/>
      <c r="BT60" s="75"/>
      <c r="BU60" s="75"/>
    </row>
    <row r="61" customFormat="false" ht="62.25" hidden="false" customHeight="true" outlineLevel="0" collapsed="false">
      <c r="A61" s="69" t="s">
        <v>1700</v>
      </c>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BJ61" s="37"/>
      <c r="BK61" s="37"/>
      <c r="BL61" s="37"/>
      <c r="BM61" s="37"/>
      <c r="BN61" s="37"/>
      <c r="BO61" s="37"/>
      <c r="BP61" s="37"/>
      <c r="BQ61" s="37"/>
      <c r="BR61" s="37"/>
      <c r="BS61" s="37"/>
      <c r="BT61" s="37"/>
      <c r="BU61" s="37"/>
    </row>
    <row r="62" customFormat="false" ht="62.25" hidden="false" customHeight="true" outlineLevel="0" collapsed="false">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BJ62" s="37"/>
      <c r="BK62" s="37"/>
      <c r="BL62" s="37"/>
      <c r="BM62" s="37"/>
      <c r="BN62" s="37"/>
      <c r="BO62" s="37"/>
      <c r="BP62" s="37"/>
      <c r="BQ62" s="37"/>
      <c r="BR62" s="37"/>
      <c r="BS62" s="37"/>
      <c r="BT62" s="37"/>
      <c r="BU62" s="37"/>
    </row>
    <row r="63" customFormat="false" ht="19.5" hidden="false" customHeight="false" outlineLevel="0" collapsed="false">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BJ63" s="37"/>
      <c r="BK63" s="37"/>
      <c r="BL63" s="37"/>
      <c r="BM63" s="37"/>
      <c r="BN63" s="37"/>
      <c r="BO63" s="37"/>
      <c r="BP63" s="37"/>
      <c r="BQ63" s="37"/>
      <c r="BR63" s="37"/>
      <c r="BS63" s="37"/>
      <c r="BT63" s="37"/>
      <c r="BU63" s="37"/>
    </row>
    <row r="64" customFormat="false" ht="33" hidden="false" customHeight="true" outlineLevel="0" collapsed="false">
      <c r="A64" s="77" t="s">
        <v>1701</v>
      </c>
      <c r="B64" s="77"/>
      <c r="C64" s="77"/>
      <c r="D64" s="77"/>
      <c r="E64" s="77"/>
      <c r="F64" s="77"/>
      <c r="G64" s="77"/>
      <c r="H64" s="77"/>
      <c r="I64" s="77"/>
      <c r="J64" s="77"/>
      <c r="K64" s="77"/>
      <c r="L64" s="77"/>
      <c r="M64" s="77"/>
      <c r="N64" s="77"/>
      <c r="O64" s="77"/>
      <c r="P64" s="77"/>
      <c r="Q64" s="77"/>
      <c r="R64" s="77"/>
      <c r="S64" s="77" t="s">
        <v>1702</v>
      </c>
      <c r="T64" s="77"/>
      <c r="U64" s="77"/>
      <c r="V64" s="77"/>
      <c r="W64" s="77"/>
      <c r="X64" s="77"/>
      <c r="Y64" s="77"/>
      <c r="Z64" s="77"/>
      <c r="AA64" s="77"/>
      <c r="AB64" s="77"/>
      <c r="AC64" s="77"/>
      <c r="AD64" s="77"/>
      <c r="AE64" s="77"/>
      <c r="AF64" s="77"/>
      <c r="AG64" s="77"/>
      <c r="AH64" s="77"/>
      <c r="AI64" s="77"/>
      <c r="AJ64" s="77"/>
      <c r="AK64" s="78"/>
      <c r="AL64" s="78"/>
      <c r="AM64" s="78"/>
      <c r="AN64" s="78"/>
      <c r="BJ64" s="37"/>
      <c r="BK64" s="37"/>
      <c r="BL64" s="37"/>
      <c r="BM64" s="37"/>
      <c r="BN64" s="37"/>
      <c r="BO64" s="37"/>
      <c r="BP64" s="37"/>
      <c r="BQ64" s="37"/>
      <c r="BR64" s="37"/>
      <c r="BS64" s="37"/>
      <c r="BT64" s="37"/>
      <c r="BU64" s="37"/>
    </row>
    <row r="65" customFormat="false" ht="48.75" hidden="false" customHeight="true" outlineLevel="0" collapsed="false">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8"/>
      <c r="AL65" s="78"/>
      <c r="AM65" s="78"/>
      <c r="AN65" s="78"/>
      <c r="BJ65" s="37"/>
      <c r="BK65" s="37"/>
      <c r="BL65" s="37"/>
      <c r="BM65" s="37"/>
      <c r="BN65" s="37"/>
      <c r="BO65" s="37"/>
      <c r="BP65" s="37"/>
      <c r="BQ65" s="37"/>
      <c r="BR65" s="37"/>
      <c r="BS65" s="37"/>
      <c r="BT65" s="37"/>
      <c r="BU65" s="37"/>
    </row>
    <row r="66" customFormat="false" ht="167.25" hidden="false" customHeight="true" outlineLevel="0" collapsed="false">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8"/>
      <c r="AL66" s="78"/>
      <c r="AM66" s="78"/>
      <c r="AN66" s="78"/>
    </row>
    <row r="67" customFormat="false" ht="24" hidden="false" customHeight="false" outlineLevel="0" collapsed="false">
      <c r="A67" s="79" t="s">
        <v>1703</v>
      </c>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row>
    <row r="68" customFormat="false" ht="41.45" hidden="false" customHeight="true" outlineLevel="0" collapsed="false">
      <c r="A68" s="80" t="s">
        <v>1704</v>
      </c>
      <c r="B68" s="80"/>
      <c r="C68" s="80"/>
      <c r="D68" s="80"/>
      <c r="E68" s="80"/>
      <c r="F68" s="80"/>
      <c r="G68" s="80"/>
      <c r="H68" s="80"/>
      <c r="I68" s="80"/>
      <c r="J68" s="80"/>
      <c r="K68" s="80"/>
      <c r="L68" s="80"/>
      <c r="M68" s="80"/>
      <c r="N68" s="80"/>
      <c r="O68" s="80"/>
      <c r="P68" s="80"/>
      <c r="Q68" s="80"/>
      <c r="R68" s="80"/>
      <c r="S68" s="80" t="s">
        <v>1705</v>
      </c>
      <c r="T68" s="80"/>
      <c r="U68" s="80"/>
      <c r="V68" s="80"/>
      <c r="W68" s="80"/>
      <c r="X68" s="80"/>
      <c r="Y68" s="80"/>
      <c r="Z68" s="80"/>
      <c r="AA68" s="80"/>
      <c r="AB68" s="80"/>
      <c r="AC68" s="80"/>
      <c r="AD68" s="80"/>
      <c r="AE68" s="80"/>
      <c r="AF68" s="80"/>
      <c r="AG68" s="80"/>
      <c r="AH68" s="80"/>
      <c r="AI68" s="80"/>
      <c r="AJ68" s="80"/>
      <c r="AK68" s="78"/>
      <c r="AL68" s="78"/>
      <c r="AM68" s="78"/>
      <c r="AN68" s="78"/>
    </row>
    <row r="69" customFormat="false" ht="41.45" hidden="false" customHeight="true" outlineLevel="0" collapsed="false">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78"/>
      <c r="AL69" s="78"/>
      <c r="AM69" s="78"/>
      <c r="AN69" s="78"/>
    </row>
    <row r="70" customFormat="false" ht="41.45" hidden="false" customHeight="true" outlineLevel="0" collapsed="false">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78"/>
      <c r="AL70" s="78"/>
      <c r="AM70" s="78"/>
      <c r="AN70" s="78"/>
    </row>
    <row r="71" customFormat="false" ht="41.45" hidden="false" customHeight="true" outlineLevel="0" collapsed="false">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78"/>
      <c r="AL71" s="78"/>
      <c r="AM71" s="78"/>
      <c r="AN71" s="78"/>
    </row>
    <row r="72" customFormat="false" ht="409.5" hidden="false" customHeight="true" outlineLevel="0" collapsed="false">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78"/>
      <c r="AL72" s="78"/>
      <c r="AM72" s="78"/>
      <c r="AN72" s="78"/>
    </row>
    <row r="73" customFormat="false" ht="24" hidden="false" customHeight="false" outlineLevel="0" collapsed="false">
      <c r="A73" s="79" t="s">
        <v>1706</v>
      </c>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N73" s="73"/>
    </row>
    <row r="74" customFormat="false" ht="41.45" hidden="false" customHeight="true" outlineLevel="0" collapsed="false">
      <c r="A74" s="81" t="s">
        <v>1707</v>
      </c>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78"/>
      <c r="AL74" s="78"/>
      <c r="AM74" s="78"/>
      <c r="AN74" s="78"/>
    </row>
    <row r="75" customFormat="false" ht="41.45" hidden="false" customHeight="true" outlineLevel="0" collapsed="false">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78"/>
      <c r="AL75" s="78"/>
      <c r="AM75" s="78"/>
      <c r="AN75" s="78"/>
    </row>
    <row r="76" customFormat="false" ht="41.45" hidden="false" customHeight="true" outlineLevel="0" collapsed="false">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78"/>
      <c r="AL76" s="78"/>
      <c r="AM76" s="78"/>
      <c r="AN76" s="78"/>
    </row>
    <row r="77" customFormat="false" ht="41.45" hidden="false" customHeight="true" outlineLevel="0" collapsed="false">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78"/>
      <c r="AL77" s="78"/>
      <c r="AM77" s="78"/>
      <c r="AN77" s="78"/>
    </row>
    <row r="78" customFormat="false" ht="408.95" hidden="false" customHeight="true" outlineLevel="0" collapsed="false">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78"/>
      <c r="AL78" s="78"/>
      <c r="AM78" s="78"/>
      <c r="AN78" s="78"/>
    </row>
    <row r="79" customFormat="false" ht="30.75" hidden="false" customHeight="true" outlineLevel="0" collapsed="false">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78"/>
      <c r="AL79" s="78"/>
      <c r="AM79" s="78"/>
      <c r="AN79" s="78"/>
    </row>
    <row r="80" customFormat="false" ht="30" hidden="false" customHeight="true" outlineLevel="0" collapsed="false">
      <c r="A80" s="83" t="s">
        <v>1594</v>
      </c>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row>
    <row r="81" customFormat="false" ht="38.25" hidden="false" customHeight="true" outlineLevel="0" collapsed="false">
      <c r="A81" s="62" t="s">
        <v>1595</v>
      </c>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row>
    <row r="82" customFormat="false" ht="63.6" hidden="false" customHeight="true" outlineLevel="0" collapsed="false">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row>
    <row r="83" customFormat="false" ht="19.5" hidden="false" customHeight="false" outlineLevel="0" collapsed="false">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row>
    <row r="84" customFormat="false" ht="21.7" hidden="false" customHeight="true" outlineLevel="0" collapsed="false">
      <c r="A84" s="84" t="s">
        <v>1708</v>
      </c>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row>
    <row r="85" customFormat="false" ht="19.5" hidden="false" customHeight="false" outlineLevel="0" collapsed="false">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row>
    <row r="86" customFormat="false" ht="19.5" hidden="false" customHeight="false" outlineLevel="0" collapsed="false">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row>
    <row r="87" customFormat="false" ht="19.5" hidden="false" customHeight="false" outlineLevel="0" collapsed="false">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row>
    <row r="88" customFormat="false" ht="19.5" hidden="false" customHeight="false" outlineLevel="0" collapsed="false">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row>
    <row r="89" customFormat="false" ht="19.5" hidden="false" customHeight="false" outlineLevel="0" collapsed="false">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row>
    <row r="90" customFormat="false" ht="19.5" hidden="false" customHeight="false" outlineLevel="0" collapsed="false">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row>
    <row r="91" customFormat="false" ht="19.5" hidden="false" customHeight="false" outlineLevel="0" collapsed="false">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row>
    <row r="92" customFormat="false" ht="19.5" hidden="false" customHeight="false" outlineLevel="0" collapsed="false">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row>
    <row r="93" customFormat="false" ht="19.5" hidden="false" customHeight="false" outlineLevel="0" collapsed="false">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row>
    <row r="94" customFormat="false" ht="93.95" hidden="false" customHeight="true" outlineLevel="0" collapsed="false">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row>
    <row r="96" customFormat="false" ht="30" hidden="false" customHeight="true" outlineLevel="0" collapsed="false">
      <c r="A96" s="71" t="s">
        <v>1596</v>
      </c>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row>
    <row r="97" customFormat="false" ht="24" hidden="false" customHeight="true" outlineLevel="0" collapsed="false">
      <c r="A97" s="62" t="s">
        <v>1709</v>
      </c>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row>
    <row r="98" customFormat="false" ht="45.75" hidden="false" customHeight="true" outlineLevel="0" collapsed="false">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row>
    <row r="100" customFormat="false" ht="71.45" hidden="false" customHeight="true" outlineLevel="0" collapsed="false">
      <c r="A100" s="85" t="s">
        <v>1710</v>
      </c>
      <c r="B100" s="85"/>
      <c r="C100" s="85"/>
      <c r="D100" s="85"/>
      <c r="E100" s="85"/>
      <c r="F100" s="85"/>
      <c r="G100" s="85"/>
      <c r="H100" s="85"/>
      <c r="I100" s="86" t="s">
        <v>1711</v>
      </c>
      <c r="J100" s="86"/>
      <c r="K100" s="86"/>
      <c r="L100" s="86"/>
      <c r="M100" s="86"/>
      <c r="N100" s="86"/>
      <c r="O100" s="86"/>
      <c r="P100" s="86"/>
      <c r="Q100" s="86"/>
      <c r="R100" s="87" t="s">
        <v>1712</v>
      </c>
      <c r="S100" s="87"/>
      <c r="T100" s="87"/>
      <c r="U100" s="87"/>
      <c r="V100" s="87"/>
      <c r="W100" s="87"/>
      <c r="X100" s="86" t="s">
        <v>1713</v>
      </c>
      <c r="Y100" s="86"/>
      <c r="Z100" s="86"/>
      <c r="AA100" s="86"/>
      <c r="AB100" s="86"/>
      <c r="AC100" s="88" t="s">
        <v>1714</v>
      </c>
      <c r="AD100" s="88"/>
      <c r="AE100" s="88"/>
      <c r="AF100" s="88"/>
      <c r="AG100" s="88"/>
      <c r="AH100" s="88"/>
      <c r="AI100" s="88"/>
      <c r="AJ100" s="88"/>
      <c r="AK100" s="88" t="s">
        <v>1715</v>
      </c>
      <c r="AL100" s="88"/>
      <c r="AM100" s="88"/>
      <c r="AN100" s="88"/>
      <c r="AO100" s="88"/>
      <c r="AP100" s="88"/>
      <c r="AQ100" s="88"/>
      <c r="AR100" s="88"/>
    </row>
    <row r="101" customFormat="false" ht="111.95" hidden="false" customHeight="true" outlineLevel="0" collapsed="false">
      <c r="A101" s="89" t="s">
        <v>1716</v>
      </c>
      <c r="B101" s="89"/>
      <c r="C101" s="89"/>
      <c r="D101" s="89"/>
      <c r="E101" s="89"/>
      <c r="F101" s="89"/>
      <c r="G101" s="89"/>
      <c r="H101" s="89"/>
      <c r="I101" s="90" t="s">
        <v>1717</v>
      </c>
      <c r="J101" s="90"/>
      <c r="K101" s="90"/>
      <c r="L101" s="90"/>
      <c r="M101" s="90"/>
      <c r="N101" s="90"/>
      <c r="O101" s="90"/>
      <c r="P101" s="90"/>
      <c r="Q101" s="90"/>
      <c r="R101" s="91" t="s">
        <v>1718</v>
      </c>
      <c r="S101" s="91"/>
      <c r="T101" s="91"/>
      <c r="U101" s="91"/>
      <c r="V101" s="91"/>
      <c r="W101" s="91"/>
      <c r="X101" s="92" t="n">
        <v>2500000</v>
      </c>
      <c r="Y101" s="92"/>
      <c r="Z101" s="92"/>
      <c r="AA101" s="92"/>
      <c r="AB101" s="92"/>
      <c r="AC101" s="90" t="s">
        <v>1719</v>
      </c>
      <c r="AD101" s="90"/>
      <c r="AE101" s="90"/>
      <c r="AF101" s="90"/>
      <c r="AG101" s="90"/>
      <c r="AH101" s="90"/>
      <c r="AI101" s="90"/>
      <c r="AJ101" s="90"/>
      <c r="AK101" s="90" t="s">
        <v>1720</v>
      </c>
      <c r="AL101" s="90"/>
      <c r="AM101" s="90"/>
      <c r="AN101" s="90"/>
      <c r="AO101" s="90"/>
      <c r="AP101" s="90"/>
      <c r="AQ101" s="90"/>
      <c r="AR101" s="90"/>
    </row>
    <row r="102" customFormat="false" ht="111.95" hidden="false" customHeight="true" outlineLevel="0" collapsed="false">
      <c r="A102" s="89" t="s">
        <v>1721</v>
      </c>
      <c r="B102" s="89"/>
      <c r="C102" s="89"/>
      <c r="D102" s="89"/>
      <c r="E102" s="89"/>
      <c r="F102" s="89"/>
      <c r="G102" s="89"/>
      <c r="H102" s="89"/>
      <c r="I102" s="90" t="s">
        <v>1722</v>
      </c>
      <c r="J102" s="90"/>
      <c r="K102" s="90"/>
      <c r="L102" s="90"/>
      <c r="M102" s="90"/>
      <c r="N102" s="90"/>
      <c r="O102" s="90"/>
      <c r="P102" s="90"/>
      <c r="Q102" s="90"/>
      <c r="R102" s="91" t="s">
        <v>1723</v>
      </c>
      <c r="S102" s="91"/>
      <c r="T102" s="91"/>
      <c r="U102" s="91"/>
      <c r="V102" s="91"/>
      <c r="W102" s="91"/>
      <c r="X102" s="92" t="n">
        <v>1500000</v>
      </c>
      <c r="Y102" s="92"/>
      <c r="Z102" s="92"/>
      <c r="AA102" s="92"/>
      <c r="AB102" s="92"/>
      <c r="AC102" s="90" t="s">
        <v>1724</v>
      </c>
      <c r="AD102" s="90"/>
      <c r="AE102" s="90"/>
      <c r="AF102" s="90"/>
      <c r="AG102" s="90"/>
      <c r="AH102" s="90"/>
      <c r="AI102" s="90"/>
      <c r="AJ102" s="90"/>
      <c r="AK102" s="90" t="s">
        <v>1725</v>
      </c>
      <c r="AL102" s="90"/>
      <c r="AM102" s="90"/>
      <c r="AN102" s="90"/>
      <c r="AO102" s="90"/>
      <c r="AP102" s="90"/>
      <c r="AQ102" s="90"/>
      <c r="AR102" s="90"/>
    </row>
    <row r="103" customFormat="false" ht="111.95" hidden="false" customHeight="true" outlineLevel="0" collapsed="false">
      <c r="A103" s="89" t="s">
        <v>1726</v>
      </c>
      <c r="B103" s="89"/>
      <c r="C103" s="89"/>
      <c r="D103" s="89"/>
      <c r="E103" s="89"/>
      <c r="F103" s="89"/>
      <c r="G103" s="89"/>
      <c r="H103" s="89"/>
      <c r="I103" s="90" t="s">
        <v>1727</v>
      </c>
      <c r="J103" s="90"/>
      <c r="K103" s="90"/>
      <c r="L103" s="90"/>
      <c r="M103" s="90"/>
      <c r="N103" s="90"/>
      <c r="O103" s="90"/>
      <c r="P103" s="90"/>
      <c r="Q103" s="90"/>
      <c r="R103" s="91" t="s">
        <v>1728</v>
      </c>
      <c r="S103" s="91"/>
      <c r="T103" s="91"/>
      <c r="U103" s="91"/>
      <c r="V103" s="91"/>
      <c r="W103" s="91"/>
      <c r="X103" s="92" t="n">
        <v>80000000</v>
      </c>
      <c r="Y103" s="92"/>
      <c r="Z103" s="92"/>
      <c r="AA103" s="92"/>
      <c r="AB103" s="92"/>
      <c r="AC103" s="90" t="s">
        <v>1729</v>
      </c>
      <c r="AD103" s="90"/>
      <c r="AE103" s="90"/>
      <c r="AF103" s="90"/>
      <c r="AG103" s="90"/>
      <c r="AH103" s="90"/>
      <c r="AI103" s="90"/>
      <c r="AJ103" s="90"/>
      <c r="AK103" s="90" t="s">
        <v>1730</v>
      </c>
      <c r="AL103" s="90"/>
      <c r="AM103" s="90"/>
      <c r="AN103" s="90"/>
      <c r="AO103" s="90"/>
      <c r="AP103" s="90"/>
      <c r="AQ103" s="90"/>
      <c r="AR103" s="90"/>
    </row>
    <row r="105" customFormat="false" ht="53.25" hidden="false" customHeight="true" outlineLevel="0" collapsed="false">
      <c r="A105" s="93" t="s">
        <v>1731</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row>
    <row r="106" customFormat="false" ht="52.5" hidden="false" customHeight="true" outlineLevel="0" collapsed="false">
      <c r="A106" s="94" t="s">
        <v>1732</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row>
    <row r="107" customFormat="false" ht="52.5" hidden="false" customHeight="true" outlineLevel="0" collapsed="false">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row>
    <row r="108" customFormat="false" ht="52.5" hidden="false" customHeight="true" outlineLevel="0" collapsed="false">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row>
    <row r="110" customFormat="false" ht="30" hidden="false" customHeight="true" outlineLevel="0" collapsed="false">
      <c r="A110" s="83" t="s">
        <v>1598</v>
      </c>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row>
    <row r="111" customFormat="false" ht="66.75" hidden="false" customHeight="true" outlineLevel="0" collapsed="false">
      <c r="A111" s="62" t="s">
        <v>1599</v>
      </c>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row>
    <row r="112" customFormat="false" ht="63.6" hidden="false" customHeight="true" outlineLevel="0" collapsed="false">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row>
    <row r="114" customFormat="false" ht="154.5" hidden="false" customHeight="true" outlineLevel="0" collapsed="false">
      <c r="A114" s="95" t="s">
        <v>1733</v>
      </c>
      <c r="B114" s="95"/>
      <c r="C114" s="95"/>
      <c r="D114" s="95"/>
      <c r="E114" s="95"/>
      <c r="F114" s="95"/>
      <c r="G114" s="95"/>
      <c r="H114" s="95"/>
      <c r="I114" s="96" t="s">
        <v>1734</v>
      </c>
      <c r="J114" s="96"/>
      <c r="K114" s="96"/>
      <c r="L114" s="96"/>
      <c r="M114" s="96"/>
      <c r="N114" s="96"/>
      <c r="O114" s="96"/>
      <c r="P114" s="96"/>
      <c r="Q114" s="96"/>
      <c r="R114" s="96"/>
      <c r="S114" s="96"/>
      <c r="T114" s="96"/>
      <c r="U114" s="96"/>
      <c r="V114" s="96"/>
      <c r="W114" s="96"/>
      <c r="X114" s="96"/>
      <c r="Y114" s="96"/>
      <c r="Z114" s="96"/>
      <c r="AA114" s="96"/>
      <c r="AB114" s="96"/>
      <c r="AC114" s="96"/>
      <c r="AD114" s="96"/>
      <c r="AE114" s="96"/>
      <c r="AF114" s="96"/>
      <c r="AG114" s="96"/>
      <c r="AH114" s="96"/>
      <c r="AI114" s="73"/>
      <c r="AJ114" s="73"/>
    </row>
    <row r="115" customFormat="false" ht="96.75" hidden="false" customHeight="true" outlineLevel="0" collapsed="false">
      <c r="A115" s="97" t="s">
        <v>1735</v>
      </c>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73"/>
      <c r="AJ115" s="73"/>
    </row>
    <row r="116" customFormat="false" ht="45.75" hidden="false" customHeight="true" outlineLevel="0" collapsed="false">
      <c r="A116" s="35" t="s">
        <v>1736</v>
      </c>
    </row>
    <row r="117" customFormat="false" ht="57.75" hidden="false" customHeight="true" outlineLevel="0" collapsed="false">
      <c r="A117" s="98" t="s">
        <v>1737</v>
      </c>
      <c r="B117" s="98"/>
      <c r="C117" s="98"/>
      <c r="D117" s="98"/>
      <c r="E117" s="98"/>
      <c r="F117" s="98"/>
      <c r="G117" s="96" t="s">
        <v>1738</v>
      </c>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c r="AE117" s="96"/>
      <c r="AF117" s="96"/>
      <c r="AG117" s="96"/>
      <c r="AH117" s="96"/>
      <c r="AI117" s="96"/>
      <c r="AJ117" s="96"/>
    </row>
    <row r="118" customFormat="false" ht="57.75" hidden="false" customHeight="true" outlineLevel="0" collapsed="false">
      <c r="A118" s="98" t="s">
        <v>1739</v>
      </c>
      <c r="B118" s="98"/>
      <c r="C118" s="98"/>
      <c r="D118" s="98"/>
      <c r="E118" s="98"/>
      <c r="F118" s="98"/>
      <c r="G118" s="99" t="s">
        <v>1740</v>
      </c>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row>
    <row r="119" customFormat="false" ht="57.75" hidden="false" customHeight="true" outlineLevel="0" collapsed="false">
      <c r="A119" s="98" t="s">
        <v>1741</v>
      </c>
      <c r="B119" s="98"/>
      <c r="C119" s="98"/>
      <c r="D119" s="98"/>
      <c r="E119" s="98"/>
      <c r="F119" s="98"/>
      <c r="G119" s="99" t="s">
        <v>1742</v>
      </c>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row>
    <row r="120" customFormat="false" ht="57.75" hidden="false" customHeight="true" outlineLevel="0" collapsed="false">
      <c r="A120" s="35" t="s">
        <v>1743</v>
      </c>
      <c r="G120" s="99" t="s">
        <v>1744</v>
      </c>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row>
    <row r="122" customFormat="false" ht="30" hidden="false" customHeight="true" outlineLevel="0" collapsed="false">
      <c r="A122" s="71" t="s">
        <v>1600</v>
      </c>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row>
    <row r="123" customFormat="false" ht="19.5" hidden="false" customHeight="true" outlineLevel="0" collapsed="false">
      <c r="A123" s="69" t="s">
        <v>1745</v>
      </c>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row>
    <row r="124" customFormat="false" ht="19.5" hidden="false" customHeight="true" outlineLevel="0" collapsed="false">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row>
    <row r="125" customFormat="false" ht="19.5" hidden="false" customHeight="true" outlineLevel="0" collapsed="false">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row>
    <row r="127" customFormat="false" ht="42.75" hidden="false" customHeight="true" outlineLevel="0" collapsed="false">
      <c r="A127" s="100" t="s">
        <v>1746</v>
      </c>
      <c r="B127" s="100"/>
      <c r="C127" s="100"/>
      <c r="D127" s="100"/>
      <c r="E127" s="100"/>
      <c r="F127" s="100"/>
      <c r="G127" s="100"/>
      <c r="H127" s="100"/>
      <c r="I127" s="100"/>
      <c r="J127" s="100"/>
      <c r="K127" s="86" t="s">
        <v>1747</v>
      </c>
      <c r="L127" s="86"/>
      <c r="M127" s="86"/>
      <c r="N127" s="86"/>
      <c r="O127" s="86"/>
      <c r="P127" s="86"/>
      <c r="Q127" s="86"/>
      <c r="R127" s="86"/>
      <c r="S127" s="86"/>
      <c r="T127" s="86"/>
      <c r="U127" s="86"/>
      <c r="V127" s="86"/>
      <c r="W127" s="86"/>
      <c r="X127" s="86"/>
      <c r="Y127" s="86" t="s">
        <v>1748</v>
      </c>
      <c r="Z127" s="86"/>
      <c r="AA127" s="86"/>
      <c r="AB127" s="86"/>
      <c r="AC127" s="86"/>
      <c r="AD127" s="86"/>
      <c r="AE127" s="86"/>
      <c r="AF127" s="101" t="s">
        <v>1749</v>
      </c>
      <c r="AG127" s="101"/>
      <c r="AH127" s="101"/>
      <c r="AI127" s="101"/>
      <c r="AJ127" s="101"/>
      <c r="AK127" s="101"/>
      <c r="AL127" s="102"/>
      <c r="AM127" s="102"/>
      <c r="AN127" s="102"/>
    </row>
    <row r="128" customFormat="false" ht="125.25" hidden="false" customHeight="true" outlineLevel="0" collapsed="false">
      <c r="A128" s="103" t="s">
        <v>1750</v>
      </c>
      <c r="B128" s="103"/>
      <c r="C128" s="103"/>
      <c r="D128" s="103"/>
      <c r="E128" s="103"/>
      <c r="F128" s="103"/>
      <c r="G128" s="103"/>
      <c r="H128" s="103"/>
      <c r="I128" s="103"/>
      <c r="J128" s="103"/>
      <c r="K128" s="103" t="s">
        <v>1751</v>
      </c>
      <c r="L128" s="103"/>
      <c r="M128" s="103"/>
      <c r="N128" s="103"/>
      <c r="O128" s="103"/>
      <c r="P128" s="103"/>
      <c r="Q128" s="103"/>
      <c r="R128" s="103"/>
      <c r="S128" s="103"/>
      <c r="T128" s="103"/>
      <c r="U128" s="103"/>
      <c r="V128" s="103"/>
      <c r="W128" s="103"/>
      <c r="X128" s="103"/>
      <c r="Y128" s="104" t="s">
        <v>1752</v>
      </c>
      <c r="Z128" s="104"/>
      <c r="AA128" s="104"/>
      <c r="AB128" s="104"/>
      <c r="AC128" s="104"/>
      <c r="AD128" s="104"/>
      <c r="AE128" s="104"/>
      <c r="AF128" s="104" t="s">
        <v>1753</v>
      </c>
      <c r="AG128" s="104"/>
      <c r="AH128" s="104"/>
      <c r="AI128" s="104"/>
      <c r="AJ128" s="104"/>
      <c r="AK128" s="104"/>
      <c r="AL128" s="105"/>
      <c r="AM128" s="105"/>
      <c r="AN128" s="105"/>
    </row>
    <row r="129" customFormat="false" ht="125.25" hidden="false" customHeight="true" outlineLevel="0" collapsed="false">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4"/>
      <c r="Z129" s="104"/>
      <c r="AA129" s="104"/>
      <c r="AB129" s="104"/>
      <c r="AC129" s="104"/>
      <c r="AD129" s="104"/>
      <c r="AE129" s="104"/>
      <c r="AF129" s="104"/>
      <c r="AG129" s="104"/>
      <c r="AH129" s="104"/>
      <c r="AI129" s="104"/>
      <c r="AJ129" s="104"/>
      <c r="AK129" s="104"/>
      <c r="AL129" s="105"/>
      <c r="AM129" s="105"/>
      <c r="AN129" s="105"/>
    </row>
    <row r="130" customFormat="false" ht="125.25" hidden="false" customHeight="true" outlineLevel="0" collapsed="false">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4"/>
      <c r="Z130" s="104"/>
      <c r="AA130" s="104"/>
      <c r="AB130" s="104"/>
      <c r="AC130" s="104"/>
      <c r="AD130" s="104"/>
      <c r="AE130" s="104"/>
      <c r="AF130" s="104"/>
      <c r="AG130" s="104"/>
      <c r="AH130" s="104"/>
      <c r="AI130" s="104"/>
      <c r="AJ130" s="104"/>
      <c r="AK130" s="104"/>
      <c r="AL130" s="105"/>
      <c r="AM130" s="105"/>
      <c r="AN130" s="105"/>
    </row>
    <row r="131" customFormat="false" ht="18" hidden="false" customHeight="true" outlineLevel="0" collapsed="false"/>
    <row r="132" customFormat="false" ht="30" hidden="false" customHeight="true" outlineLevel="0" collapsed="false">
      <c r="A132" s="83" t="s">
        <v>1602</v>
      </c>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row>
    <row r="133" customFormat="false" ht="63" hidden="false" customHeight="true" outlineLevel="0" collapsed="false">
      <c r="A133" s="62" t="s">
        <v>1754</v>
      </c>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row>
    <row r="134" customFormat="false" ht="63" hidden="false" customHeight="true" outlineLevel="0" collapsed="false">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row>
    <row r="135" customFormat="false" ht="63" hidden="false" customHeight="true" outlineLevel="0" collapsed="false">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row>
    <row r="136" customFormat="false" ht="63" hidden="false" customHeight="true" outlineLevel="0" collapsed="false">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row>
    <row r="138" customFormat="false" ht="24" hidden="false" customHeight="false" outlineLevel="0" collapsed="false">
      <c r="A138" s="35" t="s">
        <v>1755</v>
      </c>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row>
    <row r="139" customFormat="false" ht="40.5" hidden="false" customHeight="true" outlineLevel="0" collapsed="false">
      <c r="A139" s="106" t="str">
        <f aca="false">+A128</f>
        <v>Automatización Inteligente         </v>
      </c>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row>
    <row r="140" customFormat="false" ht="83.25" hidden="false" customHeight="true" outlineLevel="0" collapsed="false">
      <c r="A140" s="107" t="s">
        <v>1756</v>
      </c>
      <c r="B140" s="107"/>
      <c r="C140" s="107"/>
      <c r="D140" s="107"/>
      <c r="E140" s="107"/>
      <c r="F140" s="107"/>
      <c r="G140" s="107"/>
      <c r="H140" s="107"/>
      <c r="I140" s="107"/>
      <c r="J140" s="107"/>
      <c r="K140" s="107"/>
      <c r="L140" s="107"/>
      <c r="M140" s="107"/>
      <c r="N140" s="107"/>
      <c r="O140" s="107" t="s">
        <v>1757</v>
      </c>
      <c r="P140" s="107"/>
      <c r="Q140" s="107"/>
      <c r="R140" s="107"/>
      <c r="S140" s="107"/>
      <c r="T140" s="107"/>
      <c r="U140" s="107"/>
      <c r="V140" s="107"/>
      <c r="W140" s="107"/>
      <c r="X140" s="107" t="s">
        <v>1758</v>
      </c>
      <c r="Y140" s="107"/>
      <c r="Z140" s="107"/>
      <c r="AA140" s="107"/>
      <c r="AB140" s="107"/>
      <c r="AC140" s="107"/>
      <c r="AD140" s="107"/>
      <c r="AE140" s="107"/>
      <c r="AF140" s="100" t="s">
        <v>1759</v>
      </c>
      <c r="AG140" s="100"/>
      <c r="AH140" s="100"/>
      <c r="AI140" s="100"/>
      <c r="AJ140" s="100"/>
      <c r="AK140" s="100"/>
      <c r="AL140" s="100"/>
      <c r="AM140" s="100"/>
      <c r="AN140" s="100"/>
    </row>
    <row r="141" customFormat="false" ht="86.25" hidden="false" customHeight="true" outlineLevel="0" collapsed="false">
      <c r="A141" s="108" t="s">
        <v>1760</v>
      </c>
      <c r="B141" s="108"/>
      <c r="C141" s="108"/>
      <c r="D141" s="108"/>
      <c r="E141" s="108"/>
      <c r="F141" s="108"/>
      <c r="G141" s="108"/>
      <c r="H141" s="108"/>
      <c r="I141" s="108"/>
      <c r="J141" s="108"/>
      <c r="K141" s="108"/>
      <c r="L141" s="108"/>
      <c r="M141" s="108"/>
      <c r="N141" s="108"/>
      <c r="O141" s="109" t="s">
        <v>1761</v>
      </c>
      <c r="P141" s="109"/>
      <c r="Q141" s="109"/>
      <c r="R141" s="109"/>
      <c r="S141" s="109"/>
      <c r="T141" s="109"/>
      <c r="U141" s="109"/>
      <c r="V141" s="109"/>
      <c r="W141" s="109"/>
      <c r="X141" s="109" t="s">
        <v>1762</v>
      </c>
      <c r="Y141" s="109"/>
      <c r="Z141" s="109"/>
      <c r="AA141" s="109"/>
      <c r="AB141" s="109"/>
      <c r="AC141" s="109"/>
      <c r="AD141" s="109"/>
      <c r="AE141" s="109"/>
      <c r="AF141" s="109" t="s">
        <v>1763</v>
      </c>
      <c r="AG141" s="109"/>
      <c r="AH141" s="109"/>
      <c r="AI141" s="109"/>
      <c r="AJ141" s="109"/>
      <c r="AK141" s="109"/>
      <c r="AL141" s="109"/>
      <c r="AM141" s="109"/>
      <c r="AN141" s="109"/>
    </row>
    <row r="142" customFormat="false" ht="86.25" hidden="false" customHeight="true" outlineLevel="0" collapsed="false">
      <c r="A142" s="108" t="s">
        <v>1764</v>
      </c>
      <c r="B142" s="108"/>
      <c r="C142" s="108"/>
      <c r="D142" s="108"/>
      <c r="E142" s="108"/>
      <c r="F142" s="108"/>
      <c r="G142" s="108"/>
      <c r="H142" s="108"/>
      <c r="I142" s="108"/>
      <c r="J142" s="108"/>
      <c r="K142" s="108"/>
      <c r="L142" s="108"/>
      <c r="M142" s="108"/>
      <c r="N142" s="108"/>
      <c r="O142" s="109" t="s">
        <v>1765</v>
      </c>
      <c r="P142" s="109"/>
      <c r="Q142" s="109"/>
      <c r="R142" s="109"/>
      <c r="S142" s="109"/>
      <c r="T142" s="109"/>
      <c r="U142" s="109"/>
      <c r="V142" s="109"/>
      <c r="W142" s="109"/>
      <c r="X142" s="109" t="s">
        <v>1766</v>
      </c>
      <c r="Y142" s="109"/>
      <c r="Z142" s="109"/>
      <c r="AA142" s="109"/>
      <c r="AB142" s="109"/>
      <c r="AC142" s="109"/>
      <c r="AD142" s="109"/>
      <c r="AE142" s="109"/>
      <c r="AF142" s="110" t="s">
        <v>1763</v>
      </c>
      <c r="AG142" s="110"/>
      <c r="AH142" s="110"/>
      <c r="AI142" s="110"/>
      <c r="AJ142" s="110"/>
      <c r="AK142" s="110"/>
      <c r="AL142" s="110"/>
      <c r="AM142" s="110"/>
      <c r="AN142" s="110"/>
    </row>
    <row r="143" customFormat="false" ht="86.25" hidden="false" customHeight="true" outlineLevel="0" collapsed="false">
      <c r="A143" s="108" t="s">
        <v>1767</v>
      </c>
      <c r="B143" s="108"/>
      <c r="C143" s="108"/>
      <c r="D143" s="108"/>
      <c r="E143" s="108"/>
      <c r="F143" s="108"/>
      <c r="G143" s="108"/>
      <c r="H143" s="108"/>
      <c r="I143" s="108"/>
      <c r="J143" s="108"/>
      <c r="K143" s="108"/>
      <c r="L143" s="108"/>
      <c r="M143" s="108"/>
      <c r="N143" s="108"/>
      <c r="O143" s="109" t="s">
        <v>1768</v>
      </c>
      <c r="P143" s="109"/>
      <c r="Q143" s="109"/>
      <c r="R143" s="109"/>
      <c r="S143" s="109"/>
      <c r="T143" s="109"/>
      <c r="U143" s="109"/>
      <c r="V143" s="109"/>
      <c r="W143" s="109"/>
      <c r="X143" s="109" t="s">
        <v>1769</v>
      </c>
      <c r="Y143" s="109"/>
      <c r="Z143" s="109"/>
      <c r="AA143" s="109"/>
      <c r="AB143" s="109"/>
      <c r="AC143" s="109"/>
      <c r="AD143" s="109"/>
      <c r="AE143" s="109"/>
      <c r="AF143" s="110" t="s">
        <v>1763</v>
      </c>
      <c r="AG143" s="110"/>
      <c r="AH143" s="110"/>
      <c r="AI143" s="110"/>
      <c r="AJ143" s="110"/>
      <c r="AK143" s="110"/>
      <c r="AL143" s="110"/>
      <c r="AM143" s="110"/>
      <c r="AN143" s="110"/>
    </row>
    <row r="144" customFormat="false" ht="86.25" hidden="false" customHeight="true" outlineLevel="0" collapsed="false">
      <c r="A144" s="108" t="s">
        <v>1770</v>
      </c>
      <c r="B144" s="108"/>
      <c r="C144" s="108"/>
      <c r="D144" s="108"/>
      <c r="E144" s="108"/>
      <c r="F144" s="108"/>
      <c r="G144" s="108"/>
      <c r="H144" s="108"/>
      <c r="I144" s="108"/>
      <c r="J144" s="108"/>
      <c r="K144" s="108"/>
      <c r="L144" s="108"/>
      <c r="M144" s="108"/>
      <c r="N144" s="108"/>
      <c r="O144" s="109" t="s">
        <v>1765</v>
      </c>
      <c r="P144" s="109"/>
      <c r="Q144" s="109"/>
      <c r="R144" s="109"/>
      <c r="S144" s="109"/>
      <c r="T144" s="109"/>
      <c r="U144" s="109"/>
      <c r="V144" s="109"/>
      <c r="W144" s="109"/>
      <c r="X144" s="109" t="s">
        <v>1771</v>
      </c>
      <c r="Y144" s="109"/>
      <c r="Z144" s="109"/>
      <c r="AA144" s="109"/>
      <c r="AB144" s="109"/>
      <c r="AC144" s="109"/>
      <c r="AD144" s="109"/>
      <c r="AE144" s="109"/>
      <c r="AF144" s="110" t="s">
        <v>1763</v>
      </c>
      <c r="AG144" s="110"/>
      <c r="AH144" s="110"/>
      <c r="AI144" s="110"/>
      <c r="AJ144" s="110"/>
      <c r="AK144" s="110"/>
      <c r="AL144" s="110"/>
      <c r="AM144" s="110"/>
      <c r="AN144" s="110"/>
    </row>
    <row r="145" customFormat="false" ht="86.25" hidden="false" customHeight="true" outlineLevel="0" collapsed="false">
      <c r="A145" s="108" t="s">
        <v>1772</v>
      </c>
      <c r="B145" s="108"/>
      <c r="C145" s="108"/>
      <c r="D145" s="108"/>
      <c r="E145" s="108"/>
      <c r="F145" s="108"/>
      <c r="G145" s="108"/>
      <c r="H145" s="108"/>
      <c r="I145" s="108"/>
      <c r="J145" s="108"/>
      <c r="K145" s="108"/>
      <c r="L145" s="108"/>
      <c r="M145" s="108"/>
      <c r="N145" s="108"/>
      <c r="O145" s="109" t="s">
        <v>1761</v>
      </c>
      <c r="P145" s="109"/>
      <c r="Q145" s="109"/>
      <c r="R145" s="109"/>
      <c r="S145" s="109"/>
      <c r="T145" s="109"/>
      <c r="U145" s="109"/>
      <c r="V145" s="109"/>
      <c r="W145" s="109"/>
      <c r="X145" s="109" t="s">
        <v>1773</v>
      </c>
      <c r="Y145" s="109"/>
      <c r="Z145" s="109"/>
      <c r="AA145" s="109"/>
      <c r="AB145" s="109"/>
      <c r="AC145" s="109"/>
      <c r="AD145" s="109"/>
      <c r="AE145" s="109"/>
      <c r="AF145" s="110" t="s">
        <v>1763</v>
      </c>
      <c r="AG145" s="110"/>
      <c r="AH145" s="110"/>
      <c r="AI145" s="110"/>
      <c r="AJ145" s="110"/>
      <c r="AK145" s="110"/>
      <c r="AL145" s="110"/>
      <c r="AM145" s="110"/>
      <c r="AN145" s="110"/>
    </row>
    <row r="146" customFormat="false" ht="86.25" hidden="false" customHeight="true" outlineLevel="0" collapsed="false">
      <c r="A146" s="108" t="s">
        <v>1774</v>
      </c>
      <c r="B146" s="108"/>
      <c r="C146" s="108"/>
      <c r="D146" s="108"/>
      <c r="E146" s="108"/>
      <c r="F146" s="108"/>
      <c r="G146" s="108"/>
      <c r="H146" s="108"/>
      <c r="I146" s="108"/>
      <c r="J146" s="108"/>
      <c r="K146" s="108"/>
      <c r="L146" s="108"/>
      <c r="M146" s="108"/>
      <c r="N146" s="108"/>
      <c r="O146" s="109" t="s">
        <v>1775</v>
      </c>
      <c r="P146" s="109"/>
      <c r="Q146" s="109"/>
      <c r="R146" s="109"/>
      <c r="S146" s="109"/>
      <c r="T146" s="109"/>
      <c r="U146" s="109"/>
      <c r="V146" s="109"/>
      <c r="W146" s="109"/>
      <c r="X146" s="109" t="s">
        <v>1776</v>
      </c>
      <c r="Y146" s="109"/>
      <c r="Z146" s="109"/>
      <c r="AA146" s="109"/>
      <c r="AB146" s="109"/>
      <c r="AC146" s="109"/>
      <c r="AD146" s="109"/>
      <c r="AE146" s="109"/>
      <c r="AF146" s="110" t="s">
        <v>1763</v>
      </c>
      <c r="AG146" s="110"/>
      <c r="AH146" s="110"/>
      <c r="AI146" s="110"/>
      <c r="AJ146" s="110"/>
      <c r="AK146" s="110"/>
      <c r="AL146" s="110"/>
      <c r="AM146" s="110"/>
      <c r="AN146" s="110"/>
    </row>
    <row r="147" customFormat="false" ht="86.25" hidden="false" customHeight="true" outlineLevel="0" collapsed="false">
      <c r="A147" s="108"/>
      <c r="B147" s="108"/>
      <c r="C147" s="108"/>
      <c r="D147" s="108"/>
      <c r="E147" s="108"/>
      <c r="F147" s="108"/>
      <c r="G147" s="108"/>
      <c r="H147" s="108"/>
      <c r="I147" s="108"/>
      <c r="J147" s="108"/>
      <c r="K147" s="108"/>
      <c r="L147" s="108"/>
      <c r="M147" s="108"/>
      <c r="N147" s="108"/>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row>
    <row r="148" customFormat="false" ht="86.25" hidden="false" customHeight="true" outlineLevel="0" collapsed="false">
      <c r="A148" s="108"/>
      <c r="B148" s="108"/>
      <c r="C148" s="108"/>
      <c r="D148" s="108"/>
      <c r="E148" s="108"/>
      <c r="F148" s="108"/>
      <c r="G148" s="108"/>
      <c r="H148" s="108"/>
      <c r="I148" s="108"/>
      <c r="J148" s="108"/>
      <c r="K148" s="108"/>
      <c r="L148" s="108"/>
      <c r="M148" s="108"/>
      <c r="N148" s="108"/>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row>
    <row r="149" customFormat="false" ht="86.25" hidden="false" customHeight="true" outlineLevel="0" collapsed="false">
      <c r="A149" s="108"/>
      <c r="B149" s="108"/>
      <c r="C149" s="108"/>
      <c r="D149" s="108"/>
      <c r="E149" s="108"/>
      <c r="F149" s="108"/>
      <c r="G149" s="108"/>
      <c r="H149" s="108"/>
      <c r="I149" s="108"/>
      <c r="J149" s="108"/>
      <c r="K149" s="108"/>
      <c r="L149" s="108"/>
      <c r="M149" s="108"/>
      <c r="N149" s="108"/>
      <c r="O149" s="109"/>
      <c r="P149" s="109"/>
      <c r="Q149" s="109"/>
      <c r="R149" s="109"/>
      <c r="S149" s="109"/>
      <c r="T149" s="109"/>
      <c r="U149" s="109"/>
      <c r="V149" s="109"/>
      <c r="W149" s="109"/>
      <c r="X149" s="109"/>
      <c r="Y149" s="109"/>
      <c r="Z149" s="109"/>
      <c r="AA149" s="109"/>
      <c r="AB149" s="109"/>
      <c r="AC149" s="109"/>
      <c r="AD149" s="109"/>
      <c r="AE149" s="109"/>
      <c r="AF149" s="109"/>
      <c r="AG149" s="109"/>
      <c r="AH149" s="109"/>
      <c r="AI149" s="109"/>
      <c r="AJ149" s="109"/>
      <c r="AK149" s="109"/>
      <c r="AL149" s="109"/>
      <c r="AM149" s="109"/>
      <c r="AN149" s="109"/>
    </row>
    <row r="150" customFormat="false" ht="86.25" hidden="false" customHeight="true" outlineLevel="0" collapsed="false">
      <c r="A150" s="108"/>
      <c r="B150" s="108"/>
      <c r="C150" s="108"/>
      <c r="D150" s="108"/>
      <c r="E150" s="108"/>
      <c r="F150" s="108"/>
      <c r="G150" s="108"/>
      <c r="H150" s="108"/>
      <c r="I150" s="108"/>
      <c r="J150" s="108"/>
      <c r="K150" s="108"/>
      <c r="L150" s="108"/>
      <c r="M150" s="108"/>
      <c r="N150" s="108"/>
      <c r="O150" s="109"/>
      <c r="P150" s="109"/>
      <c r="Q150" s="109"/>
      <c r="R150" s="109"/>
      <c r="S150" s="109"/>
      <c r="T150" s="109"/>
      <c r="U150" s="109"/>
      <c r="V150" s="109"/>
      <c r="W150" s="109"/>
      <c r="X150" s="109"/>
      <c r="Y150" s="109"/>
      <c r="Z150" s="109"/>
      <c r="AA150" s="109"/>
      <c r="AB150" s="109"/>
      <c r="AC150" s="109"/>
      <c r="AD150" s="109"/>
      <c r="AE150" s="109"/>
      <c r="AF150" s="109"/>
      <c r="AG150" s="109"/>
      <c r="AH150" s="109"/>
      <c r="AI150" s="109"/>
      <c r="AJ150" s="109"/>
      <c r="AK150" s="109"/>
      <c r="AL150" s="109"/>
      <c r="AM150" s="109"/>
      <c r="AN150" s="109"/>
    </row>
    <row r="151" customFormat="false" ht="91.5" hidden="false" customHeight="true" outlineLevel="0" collapsed="false">
      <c r="A151" s="111" t="s">
        <v>1777</v>
      </c>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row>
    <row r="152" customFormat="false" ht="24.95" hidden="false" customHeight="true" outlineLevel="0" collapsed="false">
      <c r="A152" s="112" t="s">
        <v>1778</v>
      </c>
      <c r="B152" s="112"/>
      <c r="C152" s="112"/>
      <c r="D152" s="112"/>
      <c r="E152" s="112"/>
      <c r="F152" s="112"/>
      <c r="G152" s="112"/>
      <c r="H152" s="112"/>
      <c r="I152" s="112"/>
      <c r="J152" s="112"/>
      <c r="K152" s="112"/>
      <c r="L152" s="112"/>
      <c r="M152" s="112"/>
      <c r="N152" s="112"/>
      <c r="O152" s="113" t="s">
        <v>1779</v>
      </c>
      <c r="P152" s="113"/>
      <c r="Q152" s="113"/>
      <c r="R152" s="113"/>
      <c r="S152" s="113"/>
      <c r="T152" s="113"/>
      <c r="U152" s="113"/>
      <c r="V152" s="113"/>
      <c r="W152" s="113"/>
      <c r="X152" s="112" t="s">
        <v>1780</v>
      </c>
      <c r="Y152" s="112"/>
      <c r="Z152" s="112"/>
      <c r="AA152" s="112"/>
      <c r="AB152" s="112"/>
      <c r="AC152" s="112"/>
      <c r="AD152" s="112"/>
      <c r="AE152" s="112"/>
      <c r="AF152" s="112" t="s">
        <v>1781</v>
      </c>
      <c r="AG152" s="112"/>
      <c r="AH152" s="112"/>
      <c r="AI152" s="112"/>
      <c r="AJ152" s="112"/>
      <c r="AK152" s="112"/>
      <c r="AL152" s="112"/>
      <c r="AM152" s="112"/>
      <c r="AN152" s="112"/>
    </row>
    <row r="153" customFormat="false" ht="40.5" hidden="false" customHeight="true" outlineLevel="0" collapsed="false">
      <c r="A153" s="114" t="n">
        <v>0.05</v>
      </c>
      <c r="B153" s="114"/>
      <c r="C153" s="114"/>
      <c r="D153" s="114"/>
      <c r="E153" s="114"/>
      <c r="F153" s="114"/>
      <c r="G153" s="114"/>
      <c r="H153" s="114"/>
      <c r="I153" s="114"/>
      <c r="J153" s="114"/>
      <c r="K153" s="114"/>
      <c r="L153" s="114"/>
      <c r="M153" s="114"/>
      <c r="N153" s="114"/>
      <c r="O153" s="115" t="n">
        <v>8</v>
      </c>
      <c r="P153" s="115"/>
      <c r="Q153" s="115"/>
      <c r="R153" s="115"/>
      <c r="S153" s="115"/>
      <c r="T153" s="115"/>
      <c r="U153" s="115"/>
      <c r="V153" s="115"/>
      <c r="W153" s="115"/>
      <c r="X153" s="114" t="n">
        <v>22</v>
      </c>
      <c r="Y153" s="114"/>
      <c r="Z153" s="114"/>
      <c r="AA153" s="114"/>
      <c r="AB153" s="114"/>
      <c r="AC153" s="114"/>
      <c r="AD153" s="114"/>
      <c r="AE153" s="114"/>
      <c r="AF153" s="116" t="n">
        <f aca="false">+A153*O153*X153</f>
        <v>8.8</v>
      </c>
      <c r="AG153" s="116"/>
      <c r="AH153" s="116"/>
      <c r="AI153" s="116"/>
      <c r="AJ153" s="116"/>
      <c r="AK153" s="116"/>
      <c r="AL153" s="116"/>
      <c r="AM153" s="116"/>
      <c r="AN153" s="116"/>
    </row>
    <row r="154" customFormat="false" ht="44.45" hidden="false" customHeight="true" outlineLevel="0" collapsed="false"/>
    <row r="155" customFormat="false" ht="24" hidden="false" customHeight="false" outlineLevel="0" collapsed="false">
      <c r="A155" s="117" t="s">
        <v>1782</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row>
    <row r="156" customFormat="false" ht="40.5" hidden="false" customHeight="true" outlineLevel="0" collapsed="false">
      <c r="A156" s="106" t="n">
        <f aca="false">+A129</f>
        <v>0</v>
      </c>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row>
    <row r="157" customFormat="false" ht="78.75" hidden="false" customHeight="true" outlineLevel="0" collapsed="false">
      <c r="A157" s="107" t="s">
        <v>1756</v>
      </c>
      <c r="B157" s="107"/>
      <c r="C157" s="107"/>
      <c r="D157" s="107"/>
      <c r="E157" s="107"/>
      <c r="F157" s="107"/>
      <c r="G157" s="107"/>
      <c r="H157" s="107"/>
      <c r="I157" s="107"/>
      <c r="J157" s="107"/>
      <c r="K157" s="107"/>
      <c r="L157" s="107"/>
      <c r="M157" s="107"/>
      <c r="N157" s="107"/>
      <c r="O157" s="107" t="s">
        <v>1757</v>
      </c>
      <c r="P157" s="107"/>
      <c r="Q157" s="107"/>
      <c r="R157" s="107"/>
      <c r="S157" s="107"/>
      <c r="T157" s="107"/>
      <c r="U157" s="107"/>
      <c r="V157" s="107"/>
      <c r="W157" s="107"/>
      <c r="X157" s="107" t="s">
        <v>1758</v>
      </c>
      <c r="Y157" s="107"/>
      <c r="Z157" s="107"/>
      <c r="AA157" s="107"/>
      <c r="AB157" s="107"/>
      <c r="AC157" s="107"/>
      <c r="AD157" s="107"/>
      <c r="AE157" s="107"/>
      <c r="AF157" s="100" t="s">
        <v>1759</v>
      </c>
      <c r="AG157" s="100"/>
      <c r="AH157" s="100"/>
      <c r="AI157" s="100"/>
      <c r="AJ157" s="100"/>
      <c r="AK157" s="100"/>
      <c r="AL157" s="100"/>
      <c r="AM157" s="100"/>
      <c r="AN157" s="100"/>
    </row>
    <row r="158" customFormat="false" ht="87.75" hidden="false" customHeight="true" outlineLevel="0" collapsed="false">
      <c r="A158" s="108"/>
      <c r="B158" s="108"/>
      <c r="C158" s="108"/>
      <c r="D158" s="108"/>
      <c r="E158" s="108"/>
      <c r="F158" s="108"/>
      <c r="G158" s="108"/>
      <c r="H158" s="108"/>
      <c r="I158" s="108"/>
      <c r="J158" s="108"/>
      <c r="K158" s="108"/>
      <c r="L158" s="108"/>
      <c r="M158" s="108"/>
      <c r="N158" s="108"/>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row>
    <row r="159" customFormat="false" ht="87.75" hidden="false" customHeight="true" outlineLevel="0" collapsed="false">
      <c r="A159" s="108"/>
      <c r="B159" s="108"/>
      <c r="C159" s="108"/>
      <c r="D159" s="108"/>
      <c r="E159" s="108"/>
      <c r="F159" s="108"/>
      <c r="G159" s="108"/>
      <c r="H159" s="108"/>
      <c r="I159" s="108"/>
      <c r="J159" s="108"/>
      <c r="K159" s="108"/>
      <c r="L159" s="108"/>
      <c r="M159" s="108"/>
      <c r="N159" s="108"/>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row>
    <row r="160" customFormat="false" ht="87.75" hidden="false" customHeight="true" outlineLevel="0" collapsed="false">
      <c r="A160" s="108"/>
      <c r="B160" s="108"/>
      <c r="C160" s="108"/>
      <c r="D160" s="108"/>
      <c r="E160" s="108"/>
      <c r="F160" s="108"/>
      <c r="G160" s="108"/>
      <c r="H160" s="108"/>
      <c r="I160" s="108"/>
      <c r="J160" s="108"/>
      <c r="K160" s="108"/>
      <c r="L160" s="108"/>
      <c r="M160" s="108"/>
      <c r="N160" s="108"/>
      <c r="O160" s="109"/>
      <c r="P160" s="109"/>
      <c r="Q160" s="109"/>
      <c r="R160" s="109"/>
      <c r="S160" s="109"/>
      <c r="T160" s="109"/>
      <c r="U160" s="109"/>
      <c r="V160" s="109"/>
      <c r="W160" s="109"/>
      <c r="X160" s="109"/>
      <c r="Y160" s="109"/>
      <c r="Z160" s="109"/>
      <c r="AA160" s="109"/>
      <c r="AB160" s="109"/>
      <c r="AC160" s="109"/>
      <c r="AD160" s="109"/>
      <c r="AE160" s="109"/>
      <c r="AF160" s="109"/>
      <c r="AG160" s="109"/>
      <c r="AH160" s="109"/>
      <c r="AI160" s="109"/>
      <c r="AJ160" s="109"/>
      <c r="AK160" s="109"/>
      <c r="AL160" s="109"/>
      <c r="AM160" s="109"/>
      <c r="AN160" s="109"/>
    </row>
    <row r="161" customFormat="false" ht="87.75" hidden="false" customHeight="true" outlineLevel="0" collapsed="false">
      <c r="A161" s="108"/>
      <c r="B161" s="108"/>
      <c r="C161" s="108"/>
      <c r="D161" s="108"/>
      <c r="E161" s="108"/>
      <c r="F161" s="108"/>
      <c r="G161" s="108"/>
      <c r="H161" s="108"/>
      <c r="I161" s="108"/>
      <c r="J161" s="108"/>
      <c r="K161" s="108"/>
      <c r="L161" s="108"/>
      <c r="M161" s="108"/>
      <c r="N161" s="108"/>
      <c r="O161" s="109"/>
      <c r="P161" s="109"/>
      <c r="Q161" s="109"/>
      <c r="R161" s="109"/>
      <c r="S161" s="109"/>
      <c r="T161" s="109"/>
      <c r="U161" s="109"/>
      <c r="V161" s="109"/>
      <c r="W161" s="109"/>
      <c r="X161" s="109"/>
      <c r="Y161" s="109"/>
      <c r="Z161" s="109"/>
      <c r="AA161" s="109"/>
      <c r="AB161" s="109"/>
      <c r="AC161" s="109"/>
      <c r="AD161" s="109"/>
      <c r="AE161" s="109"/>
      <c r="AF161" s="109"/>
      <c r="AG161" s="109"/>
      <c r="AH161" s="109"/>
      <c r="AI161" s="109"/>
      <c r="AJ161" s="109"/>
      <c r="AK161" s="109"/>
      <c r="AL161" s="109"/>
      <c r="AM161" s="109"/>
      <c r="AN161" s="109"/>
    </row>
    <row r="162" customFormat="false" ht="87.75" hidden="false" customHeight="true" outlineLevel="0" collapsed="false">
      <c r="A162" s="108"/>
      <c r="B162" s="108"/>
      <c r="C162" s="108"/>
      <c r="D162" s="108"/>
      <c r="E162" s="108"/>
      <c r="F162" s="108"/>
      <c r="G162" s="108"/>
      <c r="H162" s="108"/>
      <c r="I162" s="108"/>
      <c r="J162" s="108"/>
      <c r="K162" s="108"/>
      <c r="L162" s="108"/>
      <c r="M162" s="108"/>
      <c r="N162" s="108"/>
      <c r="O162" s="109"/>
      <c r="P162" s="109"/>
      <c r="Q162" s="109"/>
      <c r="R162" s="109"/>
      <c r="S162" s="109"/>
      <c r="T162" s="109"/>
      <c r="U162" s="109"/>
      <c r="V162" s="109"/>
      <c r="W162" s="109"/>
      <c r="X162" s="109"/>
      <c r="Y162" s="109"/>
      <c r="Z162" s="109"/>
      <c r="AA162" s="109"/>
      <c r="AB162" s="109"/>
      <c r="AC162" s="109"/>
      <c r="AD162" s="109"/>
      <c r="AE162" s="109"/>
      <c r="AF162" s="109"/>
      <c r="AG162" s="109"/>
      <c r="AH162" s="109"/>
      <c r="AI162" s="109"/>
      <c r="AJ162" s="109"/>
      <c r="AK162" s="109"/>
      <c r="AL162" s="109"/>
      <c r="AM162" s="109"/>
      <c r="AN162" s="109"/>
    </row>
    <row r="163" customFormat="false" ht="87.75" hidden="false" customHeight="true" outlineLevel="0" collapsed="false">
      <c r="A163" s="108"/>
      <c r="B163" s="108"/>
      <c r="C163" s="108"/>
      <c r="D163" s="108"/>
      <c r="E163" s="108"/>
      <c r="F163" s="108"/>
      <c r="G163" s="108"/>
      <c r="H163" s="108"/>
      <c r="I163" s="108"/>
      <c r="J163" s="108"/>
      <c r="K163" s="108"/>
      <c r="L163" s="108"/>
      <c r="M163" s="108"/>
      <c r="N163" s="108"/>
      <c r="O163" s="109"/>
      <c r="P163" s="109"/>
      <c r="Q163" s="109"/>
      <c r="R163" s="109"/>
      <c r="S163" s="109"/>
      <c r="T163" s="109"/>
      <c r="U163" s="109"/>
      <c r="V163" s="109"/>
      <c r="W163" s="109"/>
      <c r="X163" s="109"/>
      <c r="Y163" s="109"/>
      <c r="Z163" s="109"/>
      <c r="AA163" s="109"/>
      <c r="AB163" s="109"/>
      <c r="AC163" s="109"/>
      <c r="AD163" s="109"/>
      <c r="AE163" s="109"/>
      <c r="AF163" s="109"/>
      <c r="AG163" s="109"/>
      <c r="AH163" s="109"/>
      <c r="AI163" s="109"/>
      <c r="AJ163" s="109"/>
      <c r="AK163" s="109"/>
      <c r="AL163" s="109"/>
      <c r="AM163" s="109"/>
      <c r="AN163" s="109"/>
    </row>
    <row r="164" customFormat="false" ht="87.75" hidden="false" customHeight="true" outlineLevel="0" collapsed="false">
      <c r="A164" s="108"/>
      <c r="B164" s="108"/>
      <c r="C164" s="108"/>
      <c r="D164" s="108"/>
      <c r="E164" s="108"/>
      <c r="F164" s="108"/>
      <c r="G164" s="108"/>
      <c r="H164" s="108"/>
      <c r="I164" s="108"/>
      <c r="J164" s="108"/>
      <c r="K164" s="108"/>
      <c r="L164" s="108"/>
      <c r="M164" s="108"/>
      <c r="N164" s="108"/>
      <c r="O164" s="109"/>
      <c r="P164" s="109"/>
      <c r="Q164" s="109"/>
      <c r="R164" s="109"/>
      <c r="S164" s="109"/>
      <c r="T164" s="109"/>
      <c r="U164" s="109"/>
      <c r="V164" s="109"/>
      <c r="W164" s="109"/>
      <c r="X164" s="109"/>
      <c r="Y164" s="109"/>
      <c r="Z164" s="109"/>
      <c r="AA164" s="109"/>
      <c r="AB164" s="109"/>
      <c r="AC164" s="109"/>
      <c r="AD164" s="109"/>
      <c r="AE164" s="109"/>
      <c r="AF164" s="109"/>
      <c r="AG164" s="109"/>
      <c r="AH164" s="109"/>
      <c r="AI164" s="109"/>
      <c r="AJ164" s="109"/>
      <c r="AK164" s="109"/>
      <c r="AL164" s="109"/>
      <c r="AM164" s="109"/>
      <c r="AN164" s="109"/>
    </row>
    <row r="165" customFormat="false" ht="87.75" hidden="false" customHeight="true" outlineLevel="0" collapsed="false">
      <c r="A165" s="108"/>
      <c r="B165" s="108"/>
      <c r="C165" s="108"/>
      <c r="D165" s="108"/>
      <c r="E165" s="108"/>
      <c r="F165" s="108"/>
      <c r="G165" s="108"/>
      <c r="H165" s="108"/>
      <c r="I165" s="108"/>
      <c r="J165" s="108"/>
      <c r="K165" s="108"/>
      <c r="L165" s="108"/>
      <c r="M165" s="108"/>
      <c r="N165" s="108"/>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row>
    <row r="166" customFormat="false" ht="87.75" hidden="false" customHeight="true" outlineLevel="0" collapsed="false">
      <c r="A166" s="108"/>
      <c r="B166" s="108"/>
      <c r="C166" s="108"/>
      <c r="D166" s="108"/>
      <c r="E166" s="108"/>
      <c r="F166" s="108"/>
      <c r="G166" s="108"/>
      <c r="H166" s="108"/>
      <c r="I166" s="108"/>
      <c r="J166" s="108"/>
      <c r="K166" s="108"/>
      <c r="L166" s="108"/>
      <c r="M166" s="108"/>
      <c r="N166" s="108"/>
      <c r="O166" s="109"/>
      <c r="P166" s="109"/>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09"/>
      <c r="AN166" s="109"/>
    </row>
    <row r="167" customFormat="false" ht="87.75" hidden="false" customHeight="true" outlineLevel="0" collapsed="false">
      <c r="A167" s="108"/>
      <c r="B167" s="108"/>
      <c r="C167" s="108"/>
      <c r="D167" s="108"/>
      <c r="E167" s="108"/>
      <c r="F167" s="108"/>
      <c r="G167" s="108"/>
      <c r="H167" s="108"/>
      <c r="I167" s="108"/>
      <c r="J167" s="108"/>
      <c r="K167" s="108"/>
      <c r="L167" s="108"/>
      <c r="M167" s="108"/>
      <c r="N167" s="108"/>
      <c r="O167" s="109"/>
      <c r="P167" s="109"/>
      <c r="Q167" s="109"/>
      <c r="R167" s="109"/>
      <c r="S167" s="109"/>
      <c r="T167" s="109"/>
      <c r="U167" s="109"/>
      <c r="V167" s="109"/>
      <c r="W167" s="109"/>
      <c r="X167" s="109"/>
      <c r="Y167" s="109"/>
      <c r="Z167" s="109"/>
      <c r="AA167" s="109"/>
      <c r="AB167" s="109"/>
      <c r="AC167" s="109"/>
      <c r="AD167" s="109"/>
      <c r="AE167" s="109"/>
      <c r="AF167" s="109"/>
      <c r="AG167" s="109"/>
      <c r="AH167" s="109"/>
      <c r="AI167" s="109"/>
      <c r="AJ167" s="109"/>
      <c r="AK167" s="109"/>
      <c r="AL167" s="109"/>
      <c r="AM167" s="109"/>
      <c r="AN167" s="109"/>
    </row>
    <row r="168" customFormat="false" ht="90" hidden="false" customHeight="true" outlineLevel="0" collapsed="false">
      <c r="A168" s="111" t="s">
        <v>1783</v>
      </c>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row>
    <row r="169" customFormat="false" ht="24.95" hidden="false" customHeight="true" outlineLevel="0" collapsed="false">
      <c r="A169" s="112" t="s">
        <v>1778</v>
      </c>
      <c r="B169" s="112"/>
      <c r="C169" s="112"/>
      <c r="D169" s="112"/>
      <c r="E169" s="112"/>
      <c r="F169" s="112"/>
      <c r="G169" s="112"/>
      <c r="H169" s="112"/>
      <c r="I169" s="112"/>
      <c r="J169" s="112"/>
      <c r="K169" s="112"/>
      <c r="L169" s="112"/>
      <c r="M169" s="112"/>
      <c r="N169" s="112"/>
      <c r="O169" s="113" t="s">
        <v>1779</v>
      </c>
      <c r="P169" s="113"/>
      <c r="Q169" s="113"/>
      <c r="R169" s="113"/>
      <c r="S169" s="113"/>
      <c r="T169" s="113"/>
      <c r="U169" s="113"/>
      <c r="V169" s="113"/>
      <c r="W169" s="113"/>
      <c r="X169" s="112" t="s">
        <v>1780</v>
      </c>
      <c r="Y169" s="112"/>
      <c r="Z169" s="112"/>
      <c r="AA169" s="112"/>
      <c r="AB169" s="112"/>
      <c r="AC169" s="112"/>
      <c r="AD169" s="112"/>
      <c r="AE169" s="112"/>
      <c r="AF169" s="112" t="s">
        <v>1781</v>
      </c>
      <c r="AG169" s="112"/>
      <c r="AH169" s="112"/>
      <c r="AI169" s="112"/>
      <c r="AJ169" s="112"/>
      <c r="AK169" s="112"/>
      <c r="AL169" s="112"/>
      <c r="AM169" s="112"/>
      <c r="AN169" s="112"/>
    </row>
    <row r="170" customFormat="false" ht="40.5" hidden="false" customHeight="true" outlineLevel="0" collapsed="false">
      <c r="A170" s="114"/>
      <c r="B170" s="114"/>
      <c r="C170" s="114"/>
      <c r="D170" s="114"/>
      <c r="E170" s="114"/>
      <c r="F170" s="114"/>
      <c r="G170" s="114"/>
      <c r="H170" s="114"/>
      <c r="I170" s="114"/>
      <c r="J170" s="114"/>
      <c r="K170" s="114"/>
      <c r="L170" s="114"/>
      <c r="M170" s="114"/>
      <c r="N170" s="114"/>
      <c r="O170" s="115"/>
      <c r="P170" s="115"/>
      <c r="Q170" s="115"/>
      <c r="R170" s="115"/>
      <c r="S170" s="115"/>
      <c r="T170" s="115"/>
      <c r="U170" s="115"/>
      <c r="V170" s="115"/>
      <c r="W170" s="115"/>
      <c r="X170" s="114"/>
      <c r="Y170" s="114"/>
      <c r="Z170" s="114"/>
      <c r="AA170" s="114"/>
      <c r="AB170" s="114"/>
      <c r="AC170" s="114"/>
      <c r="AD170" s="114"/>
      <c r="AE170" s="114"/>
      <c r="AF170" s="116" t="n">
        <f aca="false">+A170*O170*X170</f>
        <v>0</v>
      </c>
      <c r="AG170" s="116"/>
      <c r="AH170" s="116"/>
      <c r="AI170" s="116"/>
      <c r="AJ170" s="116"/>
      <c r="AK170" s="116"/>
      <c r="AL170" s="116"/>
      <c r="AM170" s="116"/>
      <c r="AN170" s="116"/>
    </row>
    <row r="171" customFormat="false" ht="32.1" hidden="false" customHeight="true" outlineLevel="0" collapsed="false"/>
    <row r="172" customFormat="false" ht="24" hidden="false" customHeight="true" outlineLevel="0" collapsed="false">
      <c r="A172" s="117" t="s">
        <v>1784</v>
      </c>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row>
    <row r="173" customFormat="false" ht="40.5" hidden="false" customHeight="true" outlineLevel="0" collapsed="false">
      <c r="A173" s="106" t="n">
        <f aca="false">+A130</f>
        <v>0</v>
      </c>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row>
    <row r="174" customFormat="false" ht="68.25" hidden="false" customHeight="true" outlineLevel="0" collapsed="false">
      <c r="A174" s="107" t="s">
        <v>1756</v>
      </c>
      <c r="B174" s="107"/>
      <c r="C174" s="107"/>
      <c r="D174" s="107"/>
      <c r="E174" s="107"/>
      <c r="F174" s="107"/>
      <c r="G174" s="107"/>
      <c r="H174" s="107"/>
      <c r="I174" s="107"/>
      <c r="J174" s="107"/>
      <c r="K174" s="107"/>
      <c r="L174" s="107"/>
      <c r="M174" s="107"/>
      <c r="N174" s="107"/>
      <c r="O174" s="107" t="s">
        <v>1757</v>
      </c>
      <c r="P174" s="107"/>
      <c r="Q174" s="107"/>
      <c r="R174" s="107"/>
      <c r="S174" s="107"/>
      <c r="T174" s="107"/>
      <c r="U174" s="107"/>
      <c r="V174" s="107"/>
      <c r="W174" s="107"/>
      <c r="X174" s="107" t="s">
        <v>1758</v>
      </c>
      <c r="Y174" s="107"/>
      <c r="Z174" s="107"/>
      <c r="AA174" s="107"/>
      <c r="AB174" s="107"/>
      <c r="AC174" s="107"/>
      <c r="AD174" s="107"/>
      <c r="AE174" s="107"/>
      <c r="AF174" s="118" t="s">
        <v>1759</v>
      </c>
      <c r="AG174" s="118"/>
      <c r="AH174" s="118"/>
      <c r="AI174" s="118"/>
      <c r="AJ174" s="118"/>
      <c r="AK174" s="118"/>
      <c r="AL174" s="118"/>
      <c r="AM174" s="118"/>
      <c r="AN174" s="118"/>
    </row>
    <row r="175" customFormat="false" ht="87" hidden="false" customHeight="true" outlineLevel="0" collapsed="false">
      <c r="A175" s="108"/>
      <c r="B175" s="108"/>
      <c r="C175" s="108"/>
      <c r="D175" s="108"/>
      <c r="E175" s="108"/>
      <c r="F175" s="108"/>
      <c r="G175" s="108"/>
      <c r="H175" s="108"/>
      <c r="I175" s="108"/>
      <c r="J175" s="108"/>
      <c r="K175" s="108"/>
      <c r="L175" s="108"/>
      <c r="M175" s="108"/>
      <c r="N175" s="108"/>
      <c r="O175" s="109"/>
      <c r="P175" s="109"/>
      <c r="Q175" s="109"/>
      <c r="R175" s="109"/>
      <c r="S175" s="109"/>
      <c r="T175" s="109"/>
      <c r="U175" s="109"/>
      <c r="V175" s="109"/>
      <c r="W175" s="109"/>
      <c r="X175" s="109"/>
      <c r="Y175" s="109"/>
      <c r="Z175" s="109"/>
      <c r="AA175" s="109"/>
      <c r="AB175" s="109"/>
      <c r="AC175" s="109"/>
      <c r="AD175" s="109"/>
      <c r="AE175" s="109"/>
      <c r="AF175" s="109"/>
      <c r="AG175" s="109"/>
      <c r="AH175" s="109"/>
      <c r="AI175" s="109"/>
      <c r="AJ175" s="109"/>
      <c r="AK175" s="109"/>
      <c r="AL175" s="109"/>
      <c r="AM175" s="109"/>
      <c r="AN175" s="109"/>
    </row>
    <row r="176" customFormat="false" ht="87" hidden="false" customHeight="true" outlineLevel="0" collapsed="false">
      <c r="A176" s="108"/>
      <c r="B176" s="108"/>
      <c r="C176" s="108"/>
      <c r="D176" s="108"/>
      <c r="E176" s="108"/>
      <c r="F176" s="108"/>
      <c r="G176" s="108"/>
      <c r="H176" s="108"/>
      <c r="I176" s="108"/>
      <c r="J176" s="108"/>
      <c r="K176" s="108"/>
      <c r="L176" s="108"/>
      <c r="M176" s="108"/>
      <c r="N176" s="108"/>
      <c r="O176" s="109"/>
      <c r="P176" s="109"/>
      <c r="Q176" s="109"/>
      <c r="R176" s="109"/>
      <c r="S176" s="109"/>
      <c r="T176" s="109"/>
      <c r="U176" s="109"/>
      <c r="V176" s="109"/>
      <c r="W176" s="109"/>
      <c r="X176" s="109"/>
      <c r="Y176" s="109"/>
      <c r="Z176" s="109"/>
      <c r="AA176" s="109"/>
      <c r="AB176" s="109"/>
      <c r="AC176" s="109"/>
      <c r="AD176" s="109"/>
      <c r="AE176" s="109"/>
      <c r="AF176" s="109"/>
      <c r="AG176" s="109"/>
      <c r="AH176" s="109"/>
      <c r="AI176" s="109"/>
      <c r="AJ176" s="109"/>
      <c r="AK176" s="109"/>
      <c r="AL176" s="109"/>
      <c r="AM176" s="109"/>
      <c r="AN176" s="109"/>
    </row>
    <row r="177" customFormat="false" ht="87" hidden="false" customHeight="true" outlineLevel="0" collapsed="false">
      <c r="A177" s="108"/>
      <c r="B177" s="108"/>
      <c r="C177" s="108"/>
      <c r="D177" s="108"/>
      <c r="E177" s="108"/>
      <c r="F177" s="108"/>
      <c r="G177" s="108"/>
      <c r="H177" s="108"/>
      <c r="I177" s="108"/>
      <c r="J177" s="108"/>
      <c r="K177" s="108"/>
      <c r="L177" s="108"/>
      <c r="M177" s="108"/>
      <c r="N177" s="108"/>
      <c r="O177" s="109"/>
      <c r="P177" s="109"/>
      <c r="Q177" s="109"/>
      <c r="R177" s="109"/>
      <c r="S177" s="109"/>
      <c r="T177" s="109"/>
      <c r="U177" s="109"/>
      <c r="V177" s="109"/>
      <c r="W177" s="109"/>
      <c r="X177" s="109"/>
      <c r="Y177" s="109"/>
      <c r="Z177" s="109"/>
      <c r="AA177" s="109"/>
      <c r="AB177" s="109"/>
      <c r="AC177" s="109"/>
      <c r="AD177" s="109"/>
      <c r="AE177" s="109"/>
      <c r="AF177" s="109"/>
      <c r="AG177" s="109"/>
      <c r="AH177" s="109"/>
      <c r="AI177" s="109"/>
      <c r="AJ177" s="109"/>
      <c r="AK177" s="109"/>
      <c r="AL177" s="109"/>
      <c r="AM177" s="109"/>
      <c r="AN177" s="109"/>
    </row>
    <row r="178" customFormat="false" ht="87" hidden="false" customHeight="true" outlineLevel="0" collapsed="false">
      <c r="A178" s="108"/>
      <c r="B178" s="108"/>
      <c r="C178" s="108"/>
      <c r="D178" s="108"/>
      <c r="E178" s="108"/>
      <c r="F178" s="108"/>
      <c r="G178" s="108"/>
      <c r="H178" s="108"/>
      <c r="I178" s="108"/>
      <c r="J178" s="108"/>
      <c r="K178" s="108"/>
      <c r="L178" s="108"/>
      <c r="M178" s="108"/>
      <c r="N178" s="108"/>
      <c r="O178" s="109"/>
      <c r="P178" s="109"/>
      <c r="Q178" s="109"/>
      <c r="R178" s="109"/>
      <c r="S178" s="109"/>
      <c r="T178" s="109"/>
      <c r="U178" s="109"/>
      <c r="V178" s="109"/>
      <c r="W178" s="109"/>
      <c r="X178" s="109"/>
      <c r="Y178" s="109"/>
      <c r="Z178" s="109"/>
      <c r="AA178" s="109"/>
      <c r="AB178" s="109"/>
      <c r="AC178" s="109"/>
      <c r="AD178" s="109"/>
      <c r="AE178" s="109"/>
      <c r="AF178" s="109"/>
      <c r="AG178" s="109"/>
      <c r="AH178" s="109"/>
      <c r="AI178" s="109"/>
      <c r="AJ178" s="109"/>
      <c r="AK178" s="109"/>
      <c r="AL178" s="109"/>
      <c r="AM178" s="109"/>
      <c r="AN178" s="109"/>
    </row>
    <row r="179" customFormat="false" ht="87" hidden="false" customHeight="true" outlineLevel="0" collapsed="false">
      <c r="A179" s="108"/>
      <c r="B179" s="108"/>
      <c r="C179" s="108"/>
      <c r="D179" s="108"/>
      <c r="E179" s="108"/>
      <c r="F179" s="108"/>
      <c r="G179" s="108"/>
      <c r="H179" s="108"/>
      <c r="I179" s="108"/>
      <c r="J179" s="108"/>
      <c r="K179" s="108"/>
      <c r="L179" s="108"/>
      <c r="M179" s="108"/>
      <c r="N179" s="108"/>
      <c r="O179" s="109"/>
      <c r="P179" s="109"/>
      <c r="Q179" s="109"/>
      <c r="R179" s="109"/>
      <c r="S179" s="109"/>
      <c r="T179" s="109"/>
      <c r="U179" s="109"/>
      <c r="V179" s="109"/>
      <c r="W179" s="109"/>
      <c r="X179" s="109"/>
      <c r="Y179" s="109"/>
      <c r="Z179" s="109"/>
      <c r="AA179" s="109"/>
      <c r="AB179" s="109"/>
      <c r="AC179" s="109"/>
      <c r="AD179" s="109"/>
      <c r="AE179" s="109"/>
      <c r="AF179" s="109"/>
      <c r="AG179" s="109"/>
      <c r="AH179" s="109"/>
      <c r="AI179" s="109"/>
      <c r="AJ179" s="109"/>
      <c r="AK179" s="109"/>
      <c r="AL179" s="109"/>
      <c r="AM179" s="109"/>
      <c r="AN179" s="109"/>
    </row>
    <row r="180" customFormat="false" ht="87" hidden="false" customHeight="true" outlineLevel="0" collapsed="false">
      <c r="A180" s="108"/>
      <c r="B180" s="108"/>
      <c r="C180" s="108"/>
      <c r="D180" s="108"/>
      <c r="E180" s="108"/>
      <c r="F180" s="108"/>
      <c r="G180" s="108"/>
      <c r="H180" s="108"/>
      <c r="I180" s="108"/>
      <c r="J180" s="108"/>
      <c r="K180" s="108"/>
      <c r="L180" s="108"/>
      <c r="M180" s="108"/>
      <c r="N180" s="108"/>
      <c r="O180" s="109"/>
      <c r="P180" s="109"/>
      <c r="Q180" s="109"/>
      <c r="R180" s="109"/>
      <c r="S180" s="109"/>
      <c r="T180" s="109"/>
      <c r="U180" s="109"/>
      <c r="V180" s="109"/>
      <c r="W180" s="109"/>
      <c r="X180" s="109"/>
      <c r="Y180" s="109"/>
      <c r="Z180" s="109"/>
      <c r="AA180" s="109"/>
      <c r="AB180" s="109"/>
      <c r="AC180" s="109"/>
      <c r="AD180" s="109"/>
      <c r="AE180" s="109"/>
      <c r="AF180" s="109"/>
      <c r="AG180" s="109"/>
      <c r="AH180" s="109"/>
      <c r="AI180" s="109"/>
      <c r="AJ180" s="109"/>
      <c r="AK180" s="109"/>
      <c r="AL180" s="109"/>
      <c r="AM180" s="109"/>
      <c r="AN180" s="109"/>
    </row>
    <row r="181" customFormat="false" ht="87" hidden="false" customHeight="true" outlineLevel="0" collapsed="false">
      <c r="A181" s="108"/>
      <c r="B181" s="108"/>
      <c r="C181" s="108"/>
      <c r="D181" s="108"/>
      <c r="E181" s="108"/>
      <c r="F181" s="108"/>
      <c r="G181" s="108"/>
      <c r="H181" s="108"/>
      <c r="I181" s="108"/>
      <c r="J181" s="108"/>
      <c r="K181" s="108"/>
      <c r="L181" s="108"/>
      <c r="M181" s="108"/>
      <c r="N181" s="108"/>
      <c r="O181" s="109"/>
      <c r="P181" s="109"/>
      <c r="Q181" s="109"/>
      <c r="R181" s="109"/>
      <c r="S181" s="109"/>
      <c r="T181" s="109"/>
      <c r="U181" s="109"/>
      <c r="V181" s="109"/>
      <c r="W181" s="109"/>
      <c r="X181" s="109"/>
      <c r="Y181" s="109"/>
      <c r="Z181" s="109"/>
      <c r="AA181" s="109"/>
      <c r="AB181" s="109"/>
      <c r="AC181" s="109"/>
      <c r="AD181" s="109"/>
      <c r="AE181" s="109"/>
      <c r="AF181" s="109"/>
      <c r="AG181" s="109"/>
      <c r="AH181" s="109"/>
      <c r="AI181" s="109"/>
      <c r="AJ181" s="109"/>
      <c r="AK181" s="109"/>
      <c r="AL181" s="109"/>
      <c r="AM181" s="109"/>
      <c r="AN181" s="109"/>
    </row>
    <row r="182" customFormat="false" ht="87" hidden="false" customHeight="true" outlineLevel="0" collapsed="false">
      <c r="A182" s="108"/>
      <c r="B182" s="108"/>
      <c r="C182" s="108"/>
      <c r="D182" s="108"/>
      <c r="E182" s="108"/>
      <c r="F182" s="108"/>
      <c r="G182" s="108"/>
      <c r="H182" s="108"/>
      <c r="I182" s="108"/>
      <c r="J182" s="108"/>
      <c r="K182" s="108"/>
      <c r="L182" s="108"/>
      <c r="M182" s="108"/>
      <c r="N182" s="108"/>
      <c r="O182" s="109"/>
      <c r="P182" s="109"/>
      <c r="Q182" s="109"/>
      <c r="R182" s="109"/>
      <c r="S182" s="109"/>
      <c r="T182" s="109"/>
      <c r="U182" s="109"/>
      <c r="V182" s="109"/>
      <c r="W182" s="109"/>
      <c r="X182" s="109"/>
      <c r="Y182" s="109"/>
      <c r="Z182" s="109"/>
      <c r="AA182" s="109"/>
      <c r="AB182" s="109"/>
      <c r="AC182" s="109"/>
      <c r="AD182" s="109"/>
      <c r="AE182" s="109"/>
      <c r="AF182" s="109"/>
      <c r="AG182" s="109"/>
      <c r="AH182" s="109"/>
      <c r="AI182" s="109"/>
      <c r="AJ182" s="109"/>
      <c r="AK182" s="109"/>
      <c r="AL182" s="109"/>
      <c r="AM182" s="109"/>
      <c r="AN182" s="109"/>
    </row>
    <row r="183" customFormat="false" ht="87" hidden="false" customHeight="true" outlineLevel="0" collapsed="false">
      <c r="A183" s="108"/>
      <c r="B183" s="108"/>
      <c r="C183" s="108"/>
      <c r="D183" s="108"/>
      <c r="E183" s="108"/>
      <c r="F183" s="108"/>
      <c r="G183" s="108"/>
      <c r="H183" s="108"/>
      <c r="I183" s="108"/>
      <c r="J183" s="108"/>
      <c r="K183" s="108"/>
      <c r="L183" s="108"/>
      <c r="M183" s="108"/>
      <c r="N183" s="108"/>
      <c r="O183" s="109"/>
      <c r="P183" s="109"/>
      <c r="Q183" s="109"/>
      <c r="R183" s="109"/>
      <c r="S183" s="109"/>
      <c r="T183" s="109"/>
      <c r="U183" s="109"/>
      <c r="V183" s="109"/>
      <c r="W183" s="109"/>
      <c r="X183" s="109"/>
      <c r="Y183" s="109"/>
      <c r="Z183" s="109"/>
      <c r="AA183" s="109"/>
      <c r="AB183" s="109"/>
      <c r="AC183" s="109"/>
      <c r="AD183" s="109"/>
      <c r="AE183" s="109"/>
      <c r="AF183" s="109"/>
      <c r="AG183" s="109"/>
      <c r="AH183" s="109"/>
      <c r="AI183" s="109"/>
      <c r="AJ183" s="109"/>
      <c r="AK183" s="109"/>
      <c r="AL183" s="109"/>
      <c r="AM183" s="109"/>
      <c r="AN183" s="109"/>
    </row>
    <row r="184" customFormat="false" ht="87" hidden="false" customHeight="true" outlineLevel="0" collapsed="false">
      <c r="A184" s="108"/>
      <c r="B184" s="108"/>
      <c r="C184" s="108"/>
      <c r="D184" s="108"/>
      <c r="E184" s="108"/>
      <c r="F184" s="108"/>
      <c r="G184" s="108"/>
      <c r="H184" s="108"/>
      <c r="I184" s="108"/>
      <c r="J184" s="108"/>
      <c r="K184" s="108"/>
      <c r="L184" s="108"/>
      <c r="M184" s="108"/>
      <c r="N184" s="108"/>
      <c r="O184" s="109"/>
      <c r="P184" s="109"/>
      <c r="Q184" s="109"/>
      <c r="R184" s="109"/>
      <c r="S184" s="109"/>
      <c r="T184" s="109"/>
      <c r="U184" s="109"/>
      <c r="V184" s="109"/>
      <c r="W184" s="109"/>
      <c r="X184" s="109"/>
      <c r="Y184" s="109"/>
      <c r="Z184" s="109"/>
      <c r="AA184" s="109"/>
      <c r="AB184" s="109"/>
      <c r="AC184" s="109"/>
      <c r="AD184" s="109"/>
      <c r="AE184" s="109"/>
      <c r="AF184" s="109"/>
      <c r="AG184" s="109"/>
      <c r="AH184" s="109"/>
      <c r="AI184" s="109"/>
      <c r="AJ184" s="109"/>
      <c r="AK184" s="109"/>
      <c r="AL184" s="109"/>
      <c r="AM184" s="109"/>
      <c r="AN184" s="109"/>
    </row>
    <row r="185" customFormat="false" ht="86.25" hidden="false" customHeight="true" outlineLevel="0" collapsed="false">
      <c r="A185" s="111" t="s">
        <v>1785</v>
      </c>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row>
    <row r="186" customFormat="false" ht="24.95" hidden="false" customHeight="true" outlineLevel="0" collapsed="false">
      <c r="A186" s="112" t="s">
        <v>1778</v>
      </c>
      <c r="B186" s="112"/>
      <c r="C186" s="112"/>
      <c r="D186" s="112"/>
      <c r="E186" s="112"/>
      <c r="F186" s="112"/>
      <c r="G186" s="112"/>
      <c r="H186" s="112"/>
      <c r="I186" s="112"/>
      <c r="J186" s="112"/>
      <c r="K186" s="112"/>
      <c r="L186" s="112"/>
      <c r="M186" s="112"/>
      <c r="N186" s="112"/>
      <c r="O186" s="113" t="s">
        <v>1779</v>
      </c>
      <c r="P186" s="113"/>
      <c r="Q186" s="113"/>
      <c r="R186" s="113"/>
      <c r="S186" s="113"/>
      <c r="T186" s="113"/>
      <c r="U186" s="113"/>
      <c r="V186" s="113"/>
      <c r="W186" s="113"/>
      <c r="X186" s="112" t="s">
        <v>1780</v>
      </c>
      <c r="Y186" s="112"/>
      <c r="Z186" s="112"/>
      <c r="AA186" s="112"/>
      <c r="AB186" s="112"/>
      <c r="AC186" s="112"/>
      <c r="AD186" s="112"/>
      <c r="AE186" s="112"/>
      <c r="AF186" s="112" t="s">
        <v>1781</v>
      </c>
      <c r="AG186" s="112"/>
      <c r="AH186" s="112"/>
      <c r="AI186" s="112"/>
      <c r="AJ186" s="112"/>
      <c r="AK186" s="112"/>
      <c r="AL186" s="112"/>
      <c r="AM186" s="112"/>
      <c r="AN186" s="112"/>
    </row>
    <row r="187" customFormat="false" ht="40.5" hidden="false" customHeight="true" outlineLevel="0" collapsed="false">
      <c r="A187" s="114"/>
      <c r="B187" s="114"/>
      <c r="C187" s="114"/>
      <c r="D187" s="114"/>
      <c r="E187" s="114"/>
      <c r="F187" s="114"/>
      <c r="G187" s="114"/>
      <c r="H187" s="114"/>
      <c r="I187" s="114"/>
      <c r="J187" s="114"/>
      <c r="K187" s="114"/>
      <c r="L187" s="114"/>
      <c r="M187" s="114"/>
      <c r="N187" s="114"/>
      <c r="O187" s="115"/>
      <c r="P187" s="115"/>
      <c r="Q187" s="115"/>
      <c r="R187" s="115"/>
      <c r="S187" s="115"/>
      <c r="T187" s="115"/>
      <c r="U187" s="115"/>
      <c r="V187" s="115"/>
      <c r="W187" s="115"/>
      <c r="X187" s="114"/>
      <c r="Y187" s="114"/>
      <c r="Z187" s="114"/>
      <c r="AA187" s="114"/>
      <c r="AB187" s="114"/>
      <c r="AC187" s="114"/>
      <c r="AD187" s="114"/>
      <c r="AE187" s="114"/>
      <c r="AF187" s="116" t="n">
        <f aca="false">+A187*O187*X187</f>
        <v>0</v>
      </c>
      <c r="AG187" s="116"/>
      <c r="AH187" s="116"/>
      <c r="AI187" s="116"/>
      <c r="AJ187" s="116"/>
      <c r="AK187" s="116"/>
      <c r="AL187" s="116"/>
      <c r="AM187" s="116"/>
      <c r="AN187" s="116"/>
    </row>
    <row r="189" customFormat="false" ht="30" hidden="false" customHeight="true" outlineLevel="0" collapsed="false">
      <c r="A189" s="71" t="s">
        <v>1604</v>
      </c>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row>
    <row r="191" customFormat="false" ht="36" hidden="false" customHeight="true" outlineLevel="0" collapsed="false">
      <c r="A191" s="119" t="s">
        <v>1786</v>
      </c>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row>
    <row r="192" customFormat="false" ht="36" hidden="false" customHeight="true" outlineLevel="0" collapsed="false">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row>
    <row r="193" customFormat="false" ht="24" hidden="false" customHeight="false" outlineLevel="0" collapsed="false">
      <c r="A193" s="120"/>
    </row>
    <row r="194" customFormat="false" ht="33.75" hidden="false" customHeight="true" outlineLevel="0" collapsed="false">
      <c r="A194" s="121" t="s">
        <v>1787</v>
      </c>
      <c r="B194" s="121"/>
      <c r="C194" s="121"/>
      <c r="D194" s="121"/>
      <c r="E194" s="121"/>
      <c r="F194" s="121"/>
      <c r="G194" s="121"/>
      <c r="H194" s="121"/>
      <c r="I194" s="121"/>
      <c r="J194" s="121"/>
      <c r="K194" s="121"/>
      <c r="L194" s="121"/>
      <c r="M194" s="121"/>
      <c r="N194" s="121"/>
      <c r="O194" s="121"/>
      <c r="P194" s="121"/>
      <c r="Q194" s="121"/>
      <c r="R194" s="121"/>
      <c r="S194" s="118" t="s">
        <v>1788</v>
      </c>
      <c r="T194" s="118"/>
      <c r="U194" s="118"/>
    </row>
    <row r="195" customFormat="false" ht="30.75" hidden="false" customHeight="true" outlineLevel="0" collapsed="false">
      <c r="A195" s="122" t="s">
        <v>1789</v>
      </c>
      <c r="B195" s="122"/>
      <c r="C195" s="122"/>
      <c r="D195" s="122"/>
      <c r="E195" s="122"/>
      <c r="F195" s="122"/>
      <c r="G195" s="122"/>
      <c r="H195" s="122"/>
      <c r="I195" s="122"/>
      <c r="J195" s="122"/>
      <c r="K195" s="122"/>
      <c r="L195" s="122"/>
      <c r="M195" s="122"/>
      <c r="N195" s="122"/>
      <c r="O195" s="122"/>
      <c r="P195" s="122"/>
      <c r="Q195" s="122"/>
      <c r="R195" s="122"/>
      <c r="S195" s="114"/>
      <c r="T195" s="114"/>
      <c r="U195" s="114"/>
    </row>
    <row r="196" customFormat="false" ht="30.75" hidden="false" customHeight="true" outlineLevel="0" collapsed="false">
      <c r="A196" s="122" t="s">
        <v>1790</v>
      </c>
      <c r="B196" s="122"/>
      <c r="C196" s="122"/>
      <c r="D196" s="122"/>
      <c r="E196" s="122"/>
      <c r="F196" s="122"/>
      <c r="G196" s="122"/>
      <c r="H196" s="122"/>
      <c r="I196" s="122"/>
      <c r="J196" s="122"/>
      <c r="K196" s="122"/>
      <c r="L196" s="122"/>
      <c r="M196" s="122"/>
      <c r="N196" s="122"/>
      <c r="O196" s="122"/>
      <c r="P196" s="122"/>
      <c r="Q196" s="122"/>
      <c r="R196" s="122"/>
      <c r="S196" s="114"/>
      <c r="T196" s="114"/>
      <c r="U196" s="114"/>
    </row>
    <row r="197" customFormat="false" ht="30.75" hidden="false" customHeight="true" outlineLevel="0" collapsed="false">
      <c r="A197" s="122" t="s">
        <v>1791</v>
      </c>
      <c r="B197" s="122"/>
      <c r="C197" s="122"/>
      <c r="D197" s="122"/>
      <c r="E197" s="122"/>
      <c r="F197" s="122"/>
      <c r="G197" s="122"/>
      <c r="H197" s="122"/>
      <c r="I197" s="122"/>
      <c r="J197" s="122"/>
      <c r="K197" s="122"/>
      <c r="L197" s="122"/>
      <c r="M197" s="122"/>
      <c r="N197" s="122"/>
      <c r="O197" s="122"/>
      <c r="P197" s="122"/>
      <c r="Q197" s="122"/>
      <c r="R197" s="122"/>
      <c r="S197" s="114"/>
      <c r="T197" s="114"/>
      <c r="U197" s="114"/>
    </row>
    <row r="198" customFormat="false" ht="30.75" hidden="false" customHeight="true" outlineLevel="0" collapsed="false">
      <c r="A198" s="122" t="s">
        <v>1792</v>
      </c>
      <c r="B198" s="122"/>
      <c r="C198" s="122"/>
      <c r="D198" s="122"/>
      <c r="E198" s="122"/>
      <c r="F198" s="122"/>
      <c r="G198" s="122"/>
      <c r="H198" s="122"/>
      <c r="I198" s="122"/>
      <c r="J198" s="122"/>
      <c r="K198" s="122"/>
      <c r="L198" s="122"/>
      <c r="M198" s="122"/>
      <c r="N198" s="122"/>
      <c r="O198" s="122"/>
      <c r="P198" s="122"/>
      <c r="Q198" s="122"/>
      <c r="R198" s="122"/>
      <c r="S198" s="114"/>
      <c r="T198" s="114"/>
      <c r="U198" s="114"/>
    </row>
    <row r="199" customFormat="false" ht="30.75" hidden="false" customHeight="true" outlineLevel="0" collapsed="false">
      <c r="A199" s="122" t="s">
        <v>1793</v>
      </c>
      <c r="B199" s="122"/>
      <c r="C199" s="122"/>
      <c r="D199" s="122"/>
      <c r="E199" s="122"/>
      <c r="F199" s="122"/>
      <c r="G199" s="122"/>
      <c r="H199" s="122"/>
      <c r="I199" s="122"/>
      <c r="J199" s="122"/>
      <c r="K199" s="122"/>
      <c r="L199" s="122"/>
      <c r="M199" s="122"/>
      <c r="N199" s="122"/>
      <c r="O199" s="122"/>
      <c r="P199" s="122"/>
      <c r="Q199" s="122"/>
      <c r="R199" s="122"/>
      <c r="S199" s="114"/>
      <c r="T199" s="114"/>
      <c r="U199" s="114"/>
    </row>
    <row r="200" customFormat="false" ht="30.75" hidden="false" customHeight="true" outlineLevel="0" collapsed="false">
      <c r="A200" s="122" t="s">
        <v>1794</v>
      </c>
      <c r="B200" s="122"/>
      <c r="C200" s="122"/>
      <c r="D200" s="122"/>
      <c r="E200" s="122"/>
      <c r="F200" s="122"/>
      <c r="G200" s="122"/>
      <c r="H200" s="122"/>
      <c r="I200" s="122"/>
      <c r="J200" s="122"/>
      <c r="K200" s="122"/>
      <c r="L200" s="122"/>
      <c r="M200" s="122"/>
      <c r="N200" s="122"/>
      <c r="O200" s="122"/>
      <c r="P200" s="122"/>
      <c r="Q200" s="122"/>
      <c r="R200" s="122"/>
      <c r="S200" s="114" t="s">
        <v>1795</v>
      </c>
      <c r="T200" s="114"/>
      <c r="U200" s="114"/>
    </row>
    <row r="201" customFormat="false" ht="30.75" hidden="false" customHeight="true" outlineLevel="0" collapsed="false">
      <c r="A201" s="122" t="s">
        <v>1659</v>
      </c>
      <c r="B201" s="122"/>
      <c r="C201" s="122"/>
      <c r="D201" s="122"/>
      <c r="E201" s="122"/>
      <c r="F201" s="122"/>
      <c r="G201" s="122"/>
      <c r="H201" s="122"/>
      <c r="I201" s="122"/>
      <c r="J201" s="122"/>
      <c r="K201" s="122"/>
      <c r="L201" s="122"/>
      <c r="M201" s="122"/>
      <c r="N201" s="122"/>
      <c r="O201" s="122"/>
      <c r="P201" s="122"/>
      <c r="Q201" s="122"/>
      <c r="R201" s="122"/>
      <c r="S201" s="114"/>
      <c r="T201" s="114"/>
      <c r="U201" s="114"/>
      <c r="V201" s="123" t="s">
        <v>1796</v>
      </c>
      <c r="W201" s="123"/>
      <c r="X201" s="123"/>
      <c r="Y201" s="124"/>
      <c r="Z201" s="124"/>
      <c r="AA201" s="124"/>
      <c r="AB201" s="124"/>
      <c r="AC201" s="124"/>
      <c r="AD201" s="124"/>
      <c r="AE201" s="124"/>
      <c r="AF201" s="124"/>
      <c r="AG201" s="124"/>
      <c r="AH201" s="124"/>
      <c r="AI201" s="124"/>
      <c r="AJ201" s="124"/>
      <c r="AK201" s="124"/>
      <c r="AL201" s="124"/>
      <c r="AM201" s="124"/>
      <c r="AN201" s="124"/>
    </row>
    <row r="203" customFormat="false" ht="41.25" hidden="false" customHeight="true" outlineLevel="0" collapsed="false">
      <c r="A203" s="119" t="s">
        <v>1797</v>
      </c>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row>
    <row r="204" customFormat="false" ht="54.75" hidden="false" customHeight="true" outlineLevel="0" collapsed="false">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row>
    <row r="206" customFormat="false" ht="42.75" hidden="false" customHeight="true" outlineLevel="0" collapsed="false">
      <c r="A206" s="107" t="s">
        <v>1798</v>
      </c>
      <c r="B206" s="107"/>
      <c r="C206" s="107"/>
      <c r="D206" s="107"/>
      <c r="E206" s="107"/>
      <c r="F206" s="107"/>
      <c r="G206" s="107"/>
      <c r="H206" s="107"/>
      <c r="I206" s="107"/>
      <c r="J206" s="107"/>
      <c r="K206" s="125" t="s">
        <v>1799</v>
      </c>
      <c r="L206" s="125"/>
      <c r="M206" s="125"/>
      <c r="N206" s="125"/>
      <c r="O206" s="125"/>
      <c r="P206" s="125"/>
      <c r="Q206" s="125"/>
      <c r="R206" s="125"/>
      <c r="S206" s="125"/>
      <c r="T206" s="125"/>
      <c r="U206" s="125"/>
      <c r="V206" s="125"/>
      <c r="W206" s="125"/>
      <c r="X206" s="125"/>
      <c r="Y206" s="125"/>
      <c r="Z206" s="126" t="s">
        <v>1800</v>
      </c>
      <c r="AA206" s="126"/>
      <c r="AB206" s="126"/>
      <c r="AC206" s="126"/>
      <c r="AD206" s="126"/>
      <c r="AE206" s="126"/>
      <c r="AF206" s="126"/>
      <c r="AG206" s="125" t="s">
        <v>1801</v>
      </c>
      <c r="AH206" s="125"/>
      <c r="AI206" s="125"/>
      <c r="AJ206" s="125"/>
      <c r="AK206" s="125"/>
      <c r="AL206" s="125"/>
      <c r="AM206" s="125"/>
      <c r="AN206" s="125"/>
    </row>
    <row r="207" customFormat="false" ht="129.95" hidden="false" customHeight="true" outlineLevel="0" collapsed="false">
      <c r="A207" s="127" t="s">
        <v>1802</v>
      </c>
      <c r="B207" s="127"/>
      <c r="C207" s="127"/>
      <c r="D207" s="127"/>
      <c r="E207" s="127"/>
      <c r="F207" s="127"/>
      <c r="G207" s="127"/>
      <c r="H207" s="127"/>
      <c r="I207" s="127"/>
      <c r="J207" s="127"/>
      <c r="K207" s="128"/>
      <c r="L207" s="128"/>
      <c r="M207" s="128"/>
      <c r="N207" s="128"/>
      <c r="O207" s="128"/>
      <c r="P207" s="128"/>
      <c r="Q207" s="128"/>
      <c r="R207" s="128"/>
      <c r="S207" s="128"/>
      <c r="T207" s="128"/>
      <c r="U207" s="128"/>
      <c r="V207" s="128"/>
      <c r="W207" s="128"/>
      <c r="X207" s="128"/>
      <c r="Y207" s="128"/>
      <c r="Z207" s="129"/>
      <c r="AA207" s="129"/>
      <c r="AB207" s="129"/>
      <c r="AC207" s="129"/>
      <c r="AD207" s="129"/>
      <c r="AE207" s="129"/>
      <c r="AF207" s="129"/>
      <c r="AG207" s="130"/>
      <c r="AH207" s="130"/>
      <c r="AI207" s="130"/>
      <c r="AJ207" s="130"/>
      <c r="AK207" s="130"/>
      <c r="AL207" s="130"/>
      <c r="AM207" s="130"/>
      <c r="AN207" s="130"/>
    </row>
    <row r="208" customFormat="false" ht="144" hidden="false" customHeight="true" outlineLevel="0" collapsed="false">
      <c r="A208" s="131" t="s">
        <v>1803</v>
      </c>
      <c r="B208" s="131"/>
      <c r="C208" s="131"/>
      <c r="D208" s="131"/>
      <c r="E208" s="131"/>
      <c r="F208" s="131"/>
      <c r="G208" s="131"/>
      <c r="H208" s="131"/>
      <c r="I208" s="131"/>
      <c r="J208" s="131"/>
      <c r="K208" s="132" t="s">
        <v>1804</v>
      </c>
      <c r="L208" s="132"/>
      <c r="M208" s="132"/>
      <c r="N208" s="132"/>
      <c r="O208" s="132"/>
      <c r="P208" s="132"/>
      <c r="Q208" s="132"/>
      <c r="R208" s="132"/>
      <c r="S208" s="132"/>
      <c r="T208" s="132"/>
      <c r="U208" s="132"/>
      <c r="V208" s="132"/>
      <c r="W208" s="132"/>
      <c r="X208" s="132"/>
      <c r="Y208" s="132"/>
      <c r="Z208" s="133" t="n">
        <v>0</v>
      </c>
      <c r="AA208" s="133"/>
      <c r="AB208" s="133"/>
      <c r="AC208" s="133"/>
      <c r="AD208" s="133"/>
      <c r="AE208" s="133"/>
      <c r="AF208" s="133"/>
      <c r="AG208" s="134" t="n">
        <v>1</v>
      </c>
      <c r="AH208" s="134"/>
      <c r="AI208" s="134"/>
      <c r="AJ208" s="134"/>
      <c r="AK208" s="134"/>
      <c r="AL208" s="134"/>
      <c r="AM208" s="134"/>
      <c r="AN208" s="134"/>
    </row>
    <row r="209" customFormat="false" ht="129.95" hidden="false" customHeight="true" outlineLevel="0" collapsed="false">
      <c r="A209" s="135" t="s">
        <v>1805</v>
      </c>
      <c r="B209" s="135"/>
      <c r="C209" s="135"/>
      <c r="D209" s="135"/>
      <c r="E209" s="135"/>
      <c r="F209" s="135"/>
      <c r="G209" s="135"/>
      <c r="H209" s="135"/>
      <c r="I209" s="135"/>
      <c r="J209" s="135"/>
      <c r="K209" s="136" t="s">
        <v>1806</v>
      </c>
      <c r="L209" s="136"/>
      <c r="M209" s="136"/>
      <c r="N209" s="136"/>
      <c r="O209" s="136"/>
      <c r="P209" s="136"/>
      <c r="Q209" s="136"/>
      <c r="R209" s="136"/>
      <c r="S209" s="136"/>
      <c r="T209" s="136"/>
      <c r="U209" s="136"/>
      <c r="V209" s="136"/>
      <c r="W209" s="136"/>
      <c r="X209" s="136"/>
      <c r="Y209" s="136"/>
      <c r="Z209" s="129" t="n">
        <v>300000</v>
      </c>
      <c r="AA209" s="129"/>
      <c r="AB209" s="129"/>
      <c r="AC209" s="129"/>
      <c r="AD209" s="129"/>
      <c r="AE209" s="129"/>
      <c r="AF209" s="129"/>
      <c r="AG209" s="130" t="n">
        <v>3</v>
      </c>
      <c r="AH209" s="130"/>
      <c r="AI209" s="130"/>
      <c r="AJ209" s="130"/>
      <c r="AK209" s="130"/>
      <c r="AL209" s="130"/>
      <c r="AM209" s="130"/>
      <c r="AN209" s="130"/>
    </row>
    <row r="210" customFormat="false" ht="129.95" hidden="false" customHeight="true" outlineLevel="0" collapsed="false">
      <c r="A210" s="135" t="s">
        <v>1807</v>
      </c>
      <c r="B210" s="135"/>
      <c r="C210" s="135"/>
      <c r="D210" s="135"/>
      <c r="E210" s="135"/>
      <c r="F210" s="135"/>
      <c r="G210" s="135"/>
      <c r="H210" s="135"/>
      <c r="I210" s="135"/>
      <c r="J210" s="135"/>
      <c r="K210" s="132" t="s">
        <v>1808</v>
      </c>
      <c r="L210" s="132"/>
      <c r="M210" s="132"/>
      <c r="N210" s="132"/>
      <c r="O210" s="132"/>
      <c r="P210" s="132"/>
      <c r="Q210" s="132"/>
      <c r="R210" s="132"/>
      <c r="S210" s="132"/>
      <c r="T210" s="132"/>
      <c r="U210" s="132"/>
      <c r="V210" s="132"/>
      <c r="W210" s="132"/>
      <c r="X210" s="132"/>
      <c r="Y210" s="132"/>
      <c r="Z210" s="133" t="n">
        <v>500000</v>
      </c>
      <c r="AA210" s="133"/>
      <c r="AB210" s="133"/>
      <c r="AC210" s="133"/>
      <c r="AD210" s="133"/>
      <c r="AE210" s="133"/>
      <c r="AF210" s="133"/>
      <c r="AG210" s="134" t="n">
        <v>5</v>
      </c>
      <c r="AH210" s="134"/>
      <c r="AI210" s="134"/>
      <c r="AJ210" s="134"/>
      <c r="AK210" s="134"/>
      <c r="AL210" s="134"/>
      <c r="AM210" s="134"/>
      <c r="AN210" s="134"/>
    </row>
    <row r="211" customFormat="false" ht="129.95" hidden="false" customHeight="true" outlineLevel="0" collapsed="false">
      <c r="A211" s="135"/>
      <c r="B211" s="135"/>
      <c r="C211" s="135"/>
      <c r="D211" s="135"/>
      <c r="E211" s="135"/>
      <c r="F211" s="135"/>
      <c r="G211" s="135"/>
      <c r="H211" s="135"/>
      <c r="I211" s="135"/>
      <c r="J211" s="135"/>
      <c r="K211" s="132"/>
      <c r="L211" s="132"/>
      <c r="M211" s="132"/>
      <c r="N211" s="132"/>
      <c r="O211" s="132"/>
      <c r="P211" s="132"/>
      <c r="Q211" s="132"/>
      <c r="R211" s="132"/>
      <c r="S211" s="132"/>
      <c r="T211" s="132"/>
      <c r="U211" s="132"/>
      <c r="V211" s="132"/>
      <c r="W211" s="132"/>
      <c r="X211" s="132"/>
      <c r="Y211" s="132"/>
      <c r="Z211" s="133"/>
      <c r="AA211" s="133"/>
      <c r="AB211" s="133"/>
      <c r="AC211" s="133"/>
      <c r="AD211" s="133"/>
      <c r="AE211" s="133"/>
      <c r="AF211" s="133"/>
      <c r="AG211" s="134"/>
      <c r="AH211" s="134"/>
      <c r="AI211" s="134"/>
      <c r="AJ211" s="134"/>
      <c r="AK211" s="134"/>
      <c r="AL211" s="134"/>
      <c r="AM211" s="134"/>
      <c r="AN211" s="134"/>
    </row>
    <row r="212" customFormat="false" ht="129.95" hidden="false" customHeight="true" outlineLevel="0" collapsed="false">
      <c r="A212" s="135"/>
      <c r="B212" s="135"/>
      <c r="C212" s="135"/>
      <c r="D212" s="135"/>
      <c r="E212" s="135"/>
      <c r="F212" s="135"/>
      <c r="G212" s="135"/>
      <c r="H212" s="135"/>
      <c r="I212" s="135"/>
      <c r="J212" s="135"/>
      <c r="K212" s="132"/>
      <c r="L212" s="132"/>
      <c r="M212" s="132"/>
      <c r="N212" s="132"/>
      <c r="O212" s="132"/>
      <c r="P212" s="132"/>
      <c r="Q212" s="132"/>
      <c r="R212" s="132"/>
      <c r="S212" s="132"/>
      <c r="T212" s="132"/>
      <c r="U212" s="132"/>
      <c r="V212" s="132"/>
      <c r="W212" s="132"/>
      <c r="X212" s="132"/>
      <c r="Y212" s="132"/>
      <c r="Z212" s="133"/>
      <c r="AA212" s="133"/>
      <c r="AB212" s="133"/>
      <c r="AC212" s="133"/>
      <c r="AD212" s="133"/>
      <c r="AE212" s="133"/>
      <c r="AF212" s="133"/>
      <c r="AG212" s="134"/>
      <c r="AH212" s="134"/>
      <c r="AI212" s="134"/>
      <c r="AJ212" s="134"/>
      <c r="AK212" s="134"/>
      <c r="AL212" s="134"/>
      <c r="AM212" s="134"/>
      <c r="AN212" s="134"/>
    </row>
    <row r="213" customFormat="false" ht="129.95" hidden="false" customHeight="true" outlineLevel="0" collapsed="false">
      <c r="A213" s="135"/>
      <c r="B213" s="135"/>
      <c r="C213" s="135"/>
      <c r="D213" s="135"/>
      <c r="E213" s="135"/>
      <c r="F213" s="135"/>
      <c r="G213" s="135"/>
      <c r="H213" s="135"/>
      <c r="I213" s="135"/>
      <c r="J213" s="135"/>
      <c r="K213" s="128"/>
      <c r="L213" s="128"/>
      <c r="M213" s="128"/>
      <c r="N213" s="128"/>
      <c r="O213" s="128"/>
      <c r="P213" s="128"/>
      <c r="Q213" s="128"/>
      <c r="R213" s="128"/>
      <c r="S213" s="128"/>
      <c r="T213" s="128"/>
      <c r="U213" s="128"/>
      <c r="V213" s="128"/>
      <c r="W213" s="128"/>
      <c r="X213" s="128"/>
      <c r="Y213" s="128"/>
      <c r="Z213" s="129"/>
      <c r="AA213" s="129"/>
      <c r="AB213" s="129"/>
      <c r="AC213" s="129"/>
      <c r="AD213" s="129"/>
      <c r="AE213" s="129"/>
      <c r="AF213" s="129"/>
      <c r="AG213" s="130"/>
      <c r="AH213" s="130"/>
      <c r="AI213" s="130"/>
      <c r="AJ213" s="130"/>
      <c r="AK213" s="130"/>
      <c r="AL213" s="130"/>
      <c r="AM213" s="130"/>
      <c r="AN213" s="130"/>
    </row>
    <row r="214" customFormat="false" ht="129.95" hidden="false" customHeight="true" outlineLevel="0" collapsed="false">
      <c r="A214" s="131"/>
      <c r="B214" s="131"/>
      <c r="C214" s="131"/>
      <c r="D214" s="131"/>
      <c r="E214" s="131"/>
      <c r="F214" s="131"/>
      <c r="G214" s="131"/>
      <c r="H214" s="131"/>
      <c r="I214" s="131"/>
      <c r="J214" s="131"/>
      <c r="K214" s="132"/>
      <c r="L214" s="132"/>
      <c r="M214" s="132"/>
      <c r="N214" s="132"/>
      <c r="O214" s="132"/>
      <c r="P214" s="132"/>
      <c r="Q214" s="132"/>
      <c r="R214" s="132"/>
      <c r="S214" s="132"/>
      <c r="T214" s="132"/>
      <c r="U214" s="132"/>
      <c r="V214" s="132"/>
      <c r="W214" s="132"/>
      <c r="X214" s="132"/>
      <c r="Y214" s="132"/>
      <c r="Z214" s="133"/>
      <c r="AA214" s="133"/>
      <c r="AB214" s="133"/>
      <c r="AC214" s="133"/>
      <c r="AD214" s="133"/>
      <c r="AE214" s="133"/>
      <c r="AF214" s="133"/>
      <c r="AG214" s="134"/>
      <c r="AH214" s="134"/>
      <c r="AI214" s="134"/>
      <c r="AJ214" s="134"/>
      <c r="AK214" s="134"/>
      <c r="AL214" s="134"/>
      <c r="AM214" s="134"/>
      <c r="AN214" s="134"/>
    </row>
    <row r="215" customFormat="false" ht="40.5" hidden="false" customHeight="true" outlineLevel="0" collapsed="false">
      <c r="A215" s="137" t="s">
        <v>1809</v>
      </c>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8" t="n">
        <f aca="false">+SUM(Z207:AF214)</f>
        <v>800000</v>
      </c>
      <c r="AA215" s="138"/>
      <c r="AB215" s="138"/>
      <c r="AC215" s="138"/>
      <c r="AD215" s="138"/>
      <c r="AE215" s="138"/>
      <c r="AF215" s="138"/>
      <c r="AG215" s="138"/>
      <c r="AH215" s="138"/>
      <c r="AI215" s="138"/>
      <c r="AJ215" s="138"/>
      <c r="AK215" s="138"/>
      <c r="AL215" s="138"/>
      <c r="AM215" s="138"/>
      <c r="AN215" s="138"/>
    </row>
    <row r="218" customFormat="false" ht="30" hidden="false" customHeight="true" outlineLevel="0" collapsed="false">
      <c r="A218" s="83" t="s">
        <v>1606</v>
      </c>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row>
    <row r="220" customFormat="false" ht="42" hidden="false" customHeight="true" outlineLevel="0" collapsed="false">
      <c r="A220" s="119" t="s">
        <v>1810</v>
      </c>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row>
    <row r="222" customFormat="false" ht="164.25" hidden="false" customHeight="true" outlineLevel="0" collapsed="false">
      <c r="A222" s="125" t="s">
        <v>1811</v>
      </c>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c r="AC222" s="125"/>
      <c r="AD222" s="125"/>
      <c r="AE222" s="125"/>
      <c r="AF222" s="125"/>
      <c r="AG222" s="139" t="s">
        <v>1812</v>
      </c>
      <c r="AH222" s="139"/>
      <c r="AI222" s="139"/>
      <c r="AJ222" s="139"/>
      <c r="AK222" s="139"/>
      <c r="AL222" s="139"/>
      <c r="AM222" s="139"/>
      <c r="AN222" s="139"/>
    </row>
    <row r="223" customFormat="false" ht="45" hidden="false" customHeight="true" outlineLevel="0" collapsed="false">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29"/>
      <c r="AH223" s="129"/>
      <c r="AI223" s="129"/>
      <c r="AJ223" s="129"/>
      <c r="AK223" s="129"/>
      <c r="AL223" s="129"/>
      <c r="AM223" s="129"/>
      <c r="AN223" s="129"/>
      <c r="AO223" s="141" t="n">
        <f aca="false">+COUNTIF(A223,"&lt;&gt;")</f>
        <v>0</v>
      </c>
      <c r="AP223" s="37"/>
    </row>
    <row r="224" customFormat="false" ht="45" hidden="false" customHeight="true" outlineLevel="0" collapsed="false">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29"/>
      <c r="AH224" s="129"/>
      <c r="AI224" s="129"/>
      <c r="AJ224" s="129"/>
      <c r="AK224" s="129"/>
      <c r="AL224" s="129"/>
      <c r="AM224" s="129"/>
      <c r="AN224" s="129"/>
      <c r="AO224" s="141" t="n">
        <f aca="false">+COUNTIF(A224,"&lt;&gt;")</f>
        <v>0</v>
      </c>
      <c r="AP224" s="37"/>
    </row>
    <row r="225" customFormat="false" ht="45" hidden="false" customHeight="true" outlineLevel="0" collapsed="false">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c r="AB225" s="142"/>
      <c r="AC225" s="142"/>
      <c r="AD225" s="142"/>
      <c r="AE225" s="142"/>
      <c r="AF225" s="142"/>
      <c r="AG225" s="133"/>
      <c r="AH225" s="133"/>
      <c r="AI225" s="133"/>
      <c r="AJ225" s="133"/>
      <c r="AK225" s="133"/>
      <c r="AL225" s="133"/>
      <c r="AM225" s="133"/>
      <c r="AN225" s="133"/>
      <c r="AO225" s="141" t="n">
        <f aca="false">+COUNTIF(A225,"&lt;&gt;")</f>
        <v>0</v>
      </c>
      <c r="AP225" s="37"/>
    </row>
    <row r="226" customFormat="false" ht="45" hidden="false" customHeight="true" outlineLevel="0" collapsed="false">
      <c r="A226" s="143" t="s">
        <v>1809</v>
      </c>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4" t="n">
        <f aca="false">SUM(AG223:AN225)</f>
        <v>0</v>
      </c>
      <c r="AH226" s="144"/>
      <c r="AI226" s="144"/>
      <c r="AJ226" s="144"/>
      <c r="AK226" s="144"/>
      <c r="AL226" s="144"/>
      <c r="AM226" s="144"/>
      <c r="AN226" s="144"/>
    </row>
    <row r="228" customFormat="false" ht="24" hidden="false" customHeight="false" outlineLevel="0" collapsed="false">
      <c r="A228" s="117" t="s">
        <v>1813</v>
      </c>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7"/>
      <c r="AI228" s="117"/>
      <c r="AJ228" s="117"/>
      <c r="AK228" s="117"/>
      <c r="AL228" s="117"/>
      <c r="AM228" s="117"/>
      <c r="AN228" s="117"/>
    </row>
    <row r="229" customFormat="false" ht="166.5" hidden="false" customHeight="true" outlineLevel="0" collapsed="false">
      <c r="A229" s="79" t="s">
        <v>1814</v>
      </c>
      <c r="B229" s="79"/>
      <c r="C229" s="79"/>
      <c r="D229" s="79"/>
      <c r="E229" s="79"/>
      <c r="F229" s="79"/>
      <c r="G229" s="79"/>
      <c r="H229" s="79"/>
      <c r="I229" s="79"/>
      <c r="J229" s="79"/>
      <c r="K229" s="79" t="s">
        <v>1815</v>
      </c>
      <c r="L229" s="79"/>
      <c r="M229" s="79"/>
      <c r="N229" s="79"/>
      <c r="O229" s="107" t="s">
        <v>1816</v>
      </c>
      <c r="P229" s="107"/>
      <c r="Q229" s="107"/>
      <c r="R229" s="107"/>
      <c r="S229" s="107"/>
      <c r="T229" s="107"/>
      <c r="U229" s="107"/>
      <c r="V229" s="107"/>
      <c r="W229" s="107"/>
      <c r="X229" s="107"/>
      <c r="Y229" s="107"/>
      <c r="Z229" s="107"/>
      <c r="AA229" s="107"/>
      <c r="AB229" s="107"/>
      <c r="AC229" s="107"/>
      <c r="AD229" s="107"/>
      <c r="AE229" s="107"/>
      <c r="AF229" s="107"/>
      <c r="AG229" s="139" t="s">
        <v>1812</v>
      </c>
      <c r="AH229" s="139"/>
      <c r="AI229" s="139"/>
      <c r="AJ229" s="139"/>
      <c r="AK229" s="139"/>
      <c r="AL229" s="139"/>
      <c r="AM229" s="139"/>
      <c r="AN229" s="139"/>
    </row>
    <row r="230" customFormat="false" ht="35.25" hidden="false" customHeight="true" outlineLevel="0" collapsed="false">
      <c r="A230" s="79" t="s">
        <v>1817</v>
      </c>
      <c r="B230" s="79" t="s">
        <v>1817</v>
      </c>
      <c r="C230" s="79" t="s">
        <v>1817</v>
      </c>
      <c r="D230" s="79" t="s">
        <v>1817</v>
      </c>
      <c r="E230" s="79" t="s">
        <v>1817</v>
      </c>
      <c r="F230" s="79" t="s">
        <v>1817</v>
      </c>
      <c r="G230" s="79" t="s">
        <v>1817</v>
      </c>
      <c r="H230" s="79" t="s">
        <v>1817</v>
      </c>
      <c r="I230" s="79" t="s">
        <v>1817</v>
      </c>
      <c r="J230" s="79" t="s">
        <v>1817</v>
      </c>
      <c r="K230" s="145"/>
      <c r="L230" s="145"/>
      <c r="M230" s="145"/>
      <c r="N230" s="145"/>
      <c r="O230" s="109"/>
      <c r="P230" s="109"/>
      <c r="Q230" s="109"/>
      <c r="R230" s="109"/>
      <c r="S230" s="109"/>
      <c r="T230" s="109"/>
      <c r="U230" s="109"/>
      <c r="V230" s="109"/>
      <c r="W230" s="109"/>
      <c r="X230" s="109"/>
      <c r="Y230" s="109"/>
      <c r="Z230" s="109"/>
      <c r="AA230" s="109"/>
      <c r="AB230" s="109"/>
      <c r="AC230" s="109"/>
      <c r="AD230" s="109"/>
      <c r="AE230" s="109"/>
      <c r="AF230" s="109"/>
      <c r="AG230" s="146"/>
      <c r="AH230" s="146"/>
      <c r="AI230" s="146"/>
      <c r="AJ230" s="146"/>
      <c r="AK230" s="146"/>
      <c r="AL230" s="146"/>
      <c r="AM230" s="146"/>
      <c r="AN230" s="146"/>
      <c r="AO230" s="141" t="n">
        <f aca="false">+COUNTIF(O230,"&lt;&gt;")</f>
        <v>0</v>
      </c>
    </row>
    <row r="231" customFormat="false" ht="35.25" hidden="false" customHeight="true" outlineLevel="0" collapsed="false">
      <c r="A231" s="79" t="s">
        <v>1818</v>
      </c>
      <c r="B231" s="79" t="s">
        <v>1818</v>
      </c>
      <c r="C231" s="79" t="s">
        <v>1818</v>
      </c>
      <c r="D231" s="79" t="s">
        <v>1818</v>
      </c>
      <c r="E231" s="79" t="s">
        <v>1818</v>
      </c>
      <c r="F231" s="79" t="s">
        <v>1818</v>
      </c>
      <c r="G231" s="79" t="s">
        <v>1818</v>
      </c>
      <c r="H231" s="79" t="s">
        <v>1818</v>
      </c>
      <c r="I231" s="79" t="s">
        <v>1818</v>
      </c>
      <c r="J231" s="79" t="s">
        <v>1818</v>
      </c>
      <c r="K231" s="145"/>
      <c r="L231" s="145"/>
      <c r="M231" s="145"/>
      <c r="N231" s="145"/>
      <c r="O231" s="109"/>
      <c r="P231" s="109"/>
      <c r="Q231" s="109"/>
      <c r="R231" s="109"/>
      <c r="S231" s="109"/>
      <c r="T231" s="109"/>
      <c r="U231" s="109"/>
      <c r="V231" s="109"/>
      <c r="W231" s="109"/>
      <c r="X231" s="109"/>
      <c r="Y231" s="109"/>
      <c r="Z231" s="109"/>
      <c r="AA231" s="109"/>
      <c r="AB231" s="109"/>
      <c r="AC231" s="109"/>
      <c r="AD231" s="109"/>
      <c r="AE231" s="109"/>
      <c r="AF231" s="109"/>
      <c r="AG231" s="146"/>
      <c r="AH231" s="146"/>
      <c r="AI231" s="146"/>
      <c r="AJ231" s="146"/>
      <c r="AK231" s="146"/>
      <c r="AL231" s="146"/>
      <c r="AM231" s="146"/>
      <c r="AN231" s="146"/>
      <c r="AO231" s="141" t="n">
        <f aca="false">+COUNTIF(O231,"&lt;&gt;")</f>
        <v>0</v>
      </c>
    </row>
    <row r="232" customFormat="false" ht="35.25" hidden="false" customHeight="true" outlineLevel="0" collapsed="false">
      <c r="A232" s="79" t="s">
        <v>1819</v>
      </c>
      <c r="B232" s="79" t="s">
        <v>1819</v>
      </c>
      <c r="C232" s="79" t="s">
        <v>1819</v>
      </c>
      <c r="D232" s="79" t="s">
        <v>1819</v>
      </c>
      <c r="E232" s="79" t="s">
        <v>1819</v>
      </c>
      <c r="F232" s="79" t="s">
        <v>1819</v>
      </c>
      <c r="G232" s="79" t="s">
        <v>1819</v>
      </c>
      <c r="H232" s="79" t="s">
        <v>1819</v>
      </c>
      <c r="I232" s="79" t="s">
        <v>1819</v>
      </c>
      <c r="J232" s="79" t="s">
        <v>1819</v>
      </c>
      <c r="K232" s="145" t="s">
        <v>1795</v>
      </c>
      <c r="L232" s="145"/>
      <c r="M232" s="145"/>
      <c r="N232" s="145"/>
      <c r="O232" s="109" t="s">
        <v>1820</v>
      </c>
      <c r="P232" s="109"/>
      <c r="Q232" s="109"/>
      <c r="R232" s="109"/>
      <c r="S232" s="109"/>
      <c r="T232" s="109"/>
      <c r="U232" s="109"/>
      <c r="V232" s="109"/>
      <c r="W232" s="109"/>
      <c r="X232" s="109"/>
      <c r="Y232" s="109"/>
      <c r="Z232" s="109"/>
      <c r="AA232" s="109"/>
      <c r="AB232" s="109"/>
      <c r="AC232" s="109"/>
      <c r="AD232" s="109"/>
      <c r="AE232" s="109"/>
      <c r="AF232" s="109"/>
      <c r="AG232" s="146" t="n">
        <f aca="false">+600000*12</f>
        <v>7200000</v>
      </c>
      <c r="AH232" s="146"/>
      <c r="AI232" s="146"/>
      <c r="AJ232" s="146"/>
      <c r="AK232" s="146"/>
      <c r="AL232" s="146"/>
      <c r="AM232" s="146"/>
      <c r="AN232" s="146"/>
      <c r="AO232" s="141" t="n">
        <f aca="false">+COUNTIF(O232,"&lt;&gt;")</f>
        <v>1</v>
      </c>
    </row>
    <row r="233" customFormat="false" ht="35.25" hidden="false" customHeight="true" outlineLevel="0" collapsed="false">
      <c r="A233" s="79" t="s">
        <v>1821</v>
      </c>
      <c r="B233" s="79" t="s">
        <v>1821</v>
      </c>
      <c r="C233" s="79" t="s">
        <v>1821</v>
      </c>
      <c r="D233" s="79" t="s">
        <v>1821</v>
      </c>
      <c r="E233" s="79" t="s">
        <v>1821</v>
      </c>
      <c r="F233" s="79" t="s">
        <v>1821</v>
      </c>
      <c r="G233" s="79" t="s">
        <v>1821</v>
      </c>
      <c r="H233" s="79" t="s">
        <v>1821</v>
      </c>
      <c r="I233" s="79" t="s">
        <v>1821</v>
      </c>
      <c r="J233" s="79" t="s">
        <v>1821</v>
      </c>
      <c r="K233" s="145"/>
      <c r="L233" s="145"/>
      <c r="M233" s="145"/>
      <c r="N233" s="145"/>
      <c r="O233" s="109"/>
      <c r="P233" s="109"/>
      <c r="Q233" s="109"/>
      <c r="R233" s="109"/>
      <c r="S233" s="109"/>
      <c r="T233" s="109"/>
      <c r="U233" s="109"/>
      <c r="V233" s="109"/>
      <c r="W233" s="109"/>
      <c r="X233" s="109"/>
      <c r="Y233" s="109"/>
      <c r="Z233" s="109"/>
      <c r="AA233" s="109"/>
      <c r="AB233" s="109"/>
      <c r="AC233" s="109"/>
      <c r="AD233" s="109"/>
      <c r="AE233" s="109"/>
      <c r="AF233" s="109"/>
      <c r="AG233" s="146"/>
      <c r="AH233" s="146"/>
      <c r="AI233" s="146"/>
      <c r="AJ233" s="146"/>
      <c r="AK233" s="146"/>
      <c r="AL233" s="146"/>
      <c r="AM233" s="146"/>
      <c r="AN233" s="146"/>
      <c r="AO233" s="141" t="n">
        <f aca="false">+COUNTIF(O233,"&lt;&gt;")</f>
        <v>0</v>
      </c>
    </row>
    <row r="234" customFormat="false" ht="35.25" hidden="false" customHeight="true" outlineLevel="0" collapsed="false">
      <c r="A234" s="147" t="s">
        <v>1822</v>
      </c>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c r="AC234" s="147"/>
      <c r="AD234" s="147"/>
      <c r="AE234" s="147"/>
      <c r="AF234" s="147"/>
      <c r="AG234" s="148" t="n">
        <f aca="false">+SUM(AG230:AN233)</f>
        <v>7200000</v>
      </c>
      <c r="AH234" s="148"/>
      <c r="AI234" s="148"/>
      <c r="AJ234" s="148"/>
      <c r="AK234" s="148"/>
      <c r="AL234" s="148"/>
      <c r="AM234" s="148"/>
      <c r="AN234" s="148"/>
    </row>
    <row r="236" customFormat="false" ht="152.25" hidden="false" customHeight="true" outlineLevel="0" collapsed="false">
      <c r="A236" s="79" t="s">
        <v>1823</v>
      </c>
      <c r="B236" s="79"/>
      <c r="C236" s="79"/>
      <c r="D236" s="79"/>
      <c r="E236" s="79"/>
      <c r="F236" s="79"/>
      <c r="G236" s="79"/>
      <c r="H236" s="79"/>
      <c r="I236" s="79"/>
      <c r="J236" s="79"/>
      <c r="K236" s="79" t="s">
        <v>1815</v>
      </c>
      <c r="L236" s="79"/>
      <c r="M236" s="79"/>
      <c r="N236" s="79"/>
      <c r="O236" s="107" t="s">
        <v>1816</v>
      </c>
      <c r="P236" s="107"/>
      <c r="Q236" s="107"/>
      <c r="R236" s="107"/>
      <c r="S236" s="107"/>
      <c r="T236" s="107"/>
      <c r="U236" s="107"/>
      <c r="V236" s="107"/>
      <c r="W236" s="107"/>
      <c r="X236" s="107"/>
      <c r="Y236" s="107"/>
      <c r="Z236" s="107"/>
      <c r="AA236" s="107"/>
      <c r="AB236" s="107"/>
      <c r="AC236" s="107"/>
      <c r="AD236" s="107"/>
      <c r="AE236" s="107"/>
      <c r="AF236" s="107"/>
      <c r="AG236" s="139" t="s">
        <v>1812</v>
      </c>
      <c r="AH236" s="139"/>
      <c r="AI236" s="139"/>
      <c r="AJ236" s="139"/>
      <c r="AK236" s="139"/>
      <c r="AL236" s="139"/>
      <c r="AM236" s="139"/>
      <c r="AN236" s="139"/>
    </row>
    <row r="237" customFormat="false" ht="35.25" hidden="false" customHeight="true" outlineLevel="0" collapsed="false">
      <c r="A237" s="79" t="s">
        <v>1824</v>
      </c>
      <c r="B237" s="79" t="s">
        <v>1824</v>
      </c>
      <c r="C237" s="79" t="s">
        <v>1824</v>
      </c>
      <c r="D237" s="79" t="s">
        <v>1824</v>
      </c>
      <c r="E237" s="79" t="s">
        <v>1824</v>
      </c>
      <c r="F237" s="79" t="s">
        <v>1824</v>
      </c>
      <c r="G237" s="79" t="s">
        <v>1824</v>
      </c>
      <c r="H237" s="79" t="s">
        <v>1824</v>
      </c>
      <c r="I237" s="79" t="s">
        <v>1824</v>
      </c>
      <c r="J237" s="79" t="s">
        <v>1824</v>
      </c>
      <c r="K237" s="145"/>
      <c r="L237" s="145"/>
      <c r="M237" s="145"/>
      <c r="N237" s="145"/>
      <c r="O237" s="109"/>
      <c r="P237" s="109"/>
      <c r="Q237" s="109"/>
      <c r="R237" s="109"/>
      <c r="S237" s="109"/>
      <c r="T237" s="109"/>
      <c r="U237" s="109"/>
      <c r="V237" s="109"/>
      <c r="W237" s="109"/>
      <c r="X237" s="109"/>
      <c r="Y237" s="109"/>
      <c r="Z237" s="109"/>
      <c r="AA237" s="109"/>
      <c r="AB237" s="109"/>
      <c r="AC237" s="109"/>
      <c r="AD237" s="109"/>
      <c r="AE237" s="109"/>
      <c r="AF237" s="109"/>
      <c r="AG237" s="146"/>
      <c r="AH237" s="146"/>
      <c r="AI237" s="146"/>
      <c r="AJ237" s="146"/>
      <c r="AK237" s="146"/>
      <c r="AL237" s="146"/>
      <c r="AM237" s="146"/>
      <c r="AN237" s="146"/>
      <c r="AO237" s="141" t="n">
        <f aca="false">+COUNTIF(O237,"&lt;&gt;")</f>
        <v>0</v>
      </c>
    </row>
    <row r="238" customFormat="false" ht="35.25" hidden="false" customHeight="true" outlineLevel="0" collapsed="false">
      <c r="A238" s="79" t="s">
        <v>1825</v>
      </c>
      <c r="B238" s="79" t="s">
        <v>1825</v>
      </c>
      <c r="C238" s="79" t="s">
        <v>1825</v>
      </c>
      <c r="D238" s="79" t="s">
        <v>1825</v>
      </c>
      <c r="E238" s="79" t="s">
        <v>1825</v>
      </c>
      <c r="F238" s="79" t="s">
        <v>1825</v>
      </c>
      <c r="G238" s="79" t="s">
        <v>1825</v>
      </c>
      <c r="H238" s="79" t="s">
        <v>1825</v>
      </c>
      <c r="I238" s="79" t="s">
        <v>1825</v>
      </c>
      <c r="J238" s="79" t="s">
        <v>1825</v>
      </c>
      <c r="K238" s="145"/>
      <c r="L238" s="145"/>
      <c r="M238" s="145"/>
      <c r="N238" s="145"/>
      <c r="O238" s="109"/>
      <c r="P238" s="109"/>
      <c r="Q238" s="109"/>
      <c r="R238" s="109"/>
      <c r="S238" s="109"/>
      <c r="T238" s="109"/>
      <c r="U238" s="109"/>
      <c r="V238" s="109"/>
      <c r="W238" s="109"/>
      <c r="X238" s="109"/>
      <c r="Y238" s="109"/>
      <c r="Z238" s="109"/>
      <c r="AA238" s="109"/>
      <c r="AB238" s="109"/>
      <c r="AC238" s="109"/>
      <c r="AD238" s="109"/>
      <c r="AE238" s="109"/>
      <c r="AF238" s="109"/>
      <c r="AG238" s="146"/>
      <c r="AH238" s="146"/>
      <c r="AI238" s="146"/>
      <c r="AJ238" s="146"/>
      <c r="AK238" s="146"/>
      <c r="AL238" s="146"/>
      <c r="AM238" s="146"/>
      <c r="AN238" s="146"/>
      <c r="AO238" s="141" t="n">
        <f aca="false">+COUNTIF(O238,"&lt;&gt;")</f>
        <v>0</v>
      </c>
    </row>
    <row r="239" customFormat="false" ht="35.25" hidden="false" customHeight="true" outlineLevel="0" collapsed="false">
      <c r="A239" s="79" t="s">
        <v>1826</v>
      </c>
      <c r="B239" s="79" t="s">
        <v>1826</v>
      </c>
      <c r="C239" s="79" t="s">
        <v>1826</v>
      </c>
      <c r="D239" s="79" t="s">
        <v>1826</v>
      </c>
      <c r="E239" s="79" t="s">
        <v>1826</v>
      </c>
      <c r="F239" s="79" t="s">
        <v>1826</v>
      </c>
      <c r="G239" s="79" t="s">
        <v>1826</v>
      </c>
      <c r="H239" s="79" t="s">
        <v>1826</v>
      </c>
      <c r="I239" s="79" t="s">
        <v>1826</v>
      </c>
      <c r="J239" s="79" t="s">
        <v>1826</v>
      </c>
      <c r="K239" s="145"/>
      <c r="L239" s="145"/>
      <c r="M239" s="145"/>
      <c r="N239" s="145"/>
      <c r="O239" s="109"/>
      <c r="P239" s="109"/>
      <c r="Q239" s="109"/>
      <c r="R239" s="109"/>
      <c r="S239" s="109"/>
      <c r="T239" s="109"/>
      <c r="U239" s="109"/>
      <c r="V239" s="109"/>
      <c r="W239" s="109"/>
      <c r="X239" s="109"/>
      <c r="Y239" s="109"/>
      <c r="Z239" s="109"/>
      <c r="AA239" s="109"/>
      <c r="AB239" s="109"/>
      <c r="AC239" s="109"/>
      <c r="AD239" s="109"/>
      <c r="AE239" s="109"/>
      <c r="AF239" s="109"/>
      <c r="AG239" s="146"/>
      <c r="AH239" s="146"/>
      <c r="AI239" s="146"/>
      <c r="AJ239" s="146"/>
      <c r="AK239" s="146"/>
      <c r="AL239" s="146"/>
      <c r="AM239" s="146"/>
      <c r="AN239" s="146"/>
      <c r="AO239" s="141" t="n">
        <f aca="false">+COUNTIF(O239,"&lt;&gt;")</f>
        <v>0</v>
      </c>
    </row>
    <row r="240" customFormat="false" ht="35.25" hidden="false" customHeight="true" outlineLevel="0" collapsed="false">
      <c r="A240" s="79" t="s">
        <v>1659</v>
      </c>
      <c r="B240" s="79" t="s">
        <v>1659</v>
      </c>
      <c r="C240" s="79" t="s">
        <v>1659</v>
      </c>
      <c r="D240" s="79" t="s">
        <v>1659</v>
      </c>
      <c r="E240" s="79" t="s">
        <v>1659</v>
      </c>
      <c r="F240" s="79" t="s">
        <v>1659</v>
      </c>
      <c r="G240" s="79" t="s">
        <v>1659</v>
      </c>
      <c r="H240" s="79" t="s">
        <v>1659</v>
      </c>
      <c r="I240" s="79" t="s">
        <v>1659</v>
      </c>
      <c r="J240" s="79" t="s">
        <v>1659</v>
      </c>
      <c r="K240" s="145"/>
      <c r="L240" s="145"/>
      <c r="M240" s="145"/>
      <c r="N240" s="145"/>
      <c r="O240" s="109"/>
      <c r="P240" s="109"/>
      <c r="Q240" s="109"/>
      <c r="R240" s="109"/>
      <c r="S240" s="109"/>
      <c r="T240" s="109"/>
      <c r="U240" s="109"/>
      <c r="V240" s="109"/>
      <c r="W240" s="109"/>
      <c r="X240" s="109"/>
      <c r="Y240" s="109"/>
      <c r="Z240" s="109"/>
      <c r="AA240" s="109"/>
      <c r="AB240" s="109"/>
      <c r="AC240" s="109"/>
      <c r="AD240" s="109"/>
      <c r="AE240" s="109"/>
      <c r="AF240" s="109"/>
      <c r="AG240" s="146"/>
      <c r="AH240" s="146"/>
      <c r="AI240" s="146"/>
      <c r="AJ240" s="146"/>
      <c r="AK240" s="146"/>
      <c r="AL240" s="146"/>
      <c r="AM240" s="146"/>
      <c r="AN240" s="146"/>
      <c r="AO240" s="141" t="n">
        <f aca="false">+COUNTIF(O240,"&lt;&gt;")</f>
        <v>0</v>
      </c>
    </row>
    <row r="241" customFormat="false" ht="35.25" hidden="false" customHeight="true" outlineLevel="0" collapsed="false">
      <c r="A241" s="147" t="s">
        <v>1822</v>
      </c>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8" t="n">
        <f aca="false">+SUM(AG237:AN240)</f>
        <v>0</v>
      </c>
      <c r="AH241" s="148"/>
      <c r="AI241" s="148"/>
      <c r="AJ241" s="148"/>
      <c r="AK241" s="148"/>
      <c r="AL241" s="148"/>
      <c r="AM241" s="148"/>
      <c r="AN241" s="148"/>
    </row>
    <row r="243" customFormat="false" ht="30" hidden="false" customHeight="true" outlineLevel="0" collapsed="false">
      <c r="A243" s="71" t="s">
        <v>1608</v>
      </c>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row>
    <row r="244" customFormat="false" ht="19.5" hidden="false" customHeight="true" outlineLevel="0" collapsed="false">
      <c r="A244" s="62" t="s">
        <v>1827</v>
      </c>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row>
    <row r="245" customFormat="false" ht="72" hidden="false" customHeight="true" outlineLevel="0" collapsed="false">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row>
    <row r="246" s="73" customFormat="true" ht="25.5" hidden="false" customHeight="true" outlineLevel="0" collapsed="false">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c r="AC246" s="149"/>
      <c r="AD246" s="149"/>
      <c r="AE246" s="149"/>
      <c r="AF246" s="149"/>
      <c r="AG246" s="149"/>
      <c r="AH246" s="149"/>
      <c r="AI246" s="149"/>
      <c r="AJ246" s="149"/>
      <c r="AK246" s="149"/>
      <c r="AL246" s="149"/>
      <c r="AM246" s="149"/>
      <c r="AN246" s="149"/>
      <c r="AW246" s="74"/>
    </row>
    <row r="247" customFormat="false" ht="173.45" hidden="false" customHeight="true" outlineLevel="0" collapsed="false">
      <c r="A247" s="150" t="s">
        <v>1828</v>
      </c>
      <c r="B247" s="150"/>
      <c r="C247" s="150"/>
      <c r="D247" s="150"/>
      <c r="E247" s="150"/>
      <c r="F247" s="151" t="s">
        <v>1829</v>
      </c>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c r="AE247" s="151"/>
      <c r="AF247" s="151"/>
      <c r="AG247" s="151"/>
      <c r="AH247" s="151"/>
      <c r="AI247" s="151"/>
    </row>
    <row r="248" customFormat="false" ht="44.1" hidden="false" customHeight="true" outlineLevel="0" collapsed="false">
      <c r="A248" s="152"/>
      <c r="B248" s="152"/>
      <c r="C248" s="152"/>
      <c r="D248" s="152"/>
      <c r="E248" s="15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row>
    <row r="249" customFormat="false" ht="19.5" hidden="false" customHeight="false" outlineLevel="0" collapsed="false">
      <c r="F249" s="153" t="s">
        <v>1830</v>
      </c>
      <c r="G249" s="153"/>
      <c r="H249" s="153"/>
      <c r="I249" s="153"/>
      <c r="J249" s="153"/>
      <c r="K249" s="153"/>
      <c r="L249" s="153"/>
      <c r="M249" s="153"/>
      <c r="N249" s="153"/>
      <c r="O249" s="153"/>
      <c r="P249" s="153"/>
      <c r="Q249" s="153"/>
    </row>
    <row r="250" customFormat="false" ht="27" hidden="false" customHeight="true" outlineLevel="0" collapsed="false">
      <c r="A250" s="38"/>
      <c r="B250" s="38"/>
      <c r="C250" s="38"/>
      <c r="D250" s="38"/>
      <c r="E250" s="38"/>
      <c r="F250" s="153" t="s">
        <v>1831</v>
      </c>
      <c r="G250" s="153"/>
      <c r="H250" s="153"/>
      <c r="I250" s="153" t="s">
        <v>1832</v>
      </c>
      <c r="J250" s="153"/>
      <c r="K250" s="153"/>
      <c r="L250" s="153" t="s">
        <v>1833</v>
      </c>
      <c r="M250" s="153"/>
      <c r="N250" s="153"/>
      <c r="O250" s="153" t="s">
        <v>1834</v>
      </c>
      <c r="P250" s="153"/>
      <c r="Q250" s="153"/>
    </row>
    <row r="251" customFormat="false" ht="39.95" hidden="false" customHeight="true" outlineLevel="0" collapsed="false">
      <c r="A251" s="38"/>
      <c r="B251" s="38"/>
      <c r="C251" s="38"/>
      <c r="D251" s="38"/>
      <c r="E251" s="38"/>
      <c r="F251" s="154" t="n">
        <v>0.1</v>
      </c>
      <c r="G251" s="154"/>
      <c r="H251" s="154"/>
      <c r="I251" s="155" t="n">
        <v>0.1</v>
      </c>
      <c r="J251" s="155"/>
      <c r="K251" s="155"/>
      <c r="L251" s="155" t="n">
        <v>0.1</v>
      </c>
      <c r="M251" s="155"/>
      <c r="N251" s="155"/>
      <c r="O251" s="155" t="n">
        <v>0.1</v>
      </c>
      <c r="P251" s="155"/>
      <c r="Q251" s="155"/>
    </row>
    <row r="253" customFormat="false" ht="19.5" hidden="false" customHeight="false" outlineLevel="0" collapsed="false">
      <c r="A253" s="98" t="s">
        <v>1835</v>
      </c>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c r="AN253" s="98"/>
    </row>
    <row r="255" customFormat="false" ht="27" hidden="false" customHeight="true" outlineLevel="0" collapsed="false">
      <c r="A255" s="156" t="s">
        <v>1836</v>
      </c>
      <c r="B255" s="156"/>
      <c r="C255" s="156"/>
      <c r="D255" s="156"/>
      <c r="E255" s="156"/>
      <c r="F255" s="156"/>
      <c r="G255" s="156"/>
      <c r="H255" s="156"/>
      <c r="I255" s="156"/>
      <c r="J255" s="156"/>
      <c r="K255" s="156"/>
      <c r="L255" s="156"/>
      <c r="M255" s="156"/>
      <c r="N255" s="156"/>
      <c r="O255" s="156"/>
      <c r="P255" s="156"/>
      <c r="Q255" s="156" t="s">
        <v>1837</v>
      </c>
      <c r="R255" s="156"/>
      <c r="S255" s="156"/>
      <c r="T255" s="156"/>
      <c r="U255" s="156"/>
      <c r="V255" s="156"/>
      <c r="W255" s="156" t="s">
        <v>1831</v>
      </c>
      <c r="X255" s="156"/>
      <c r="Y255" s="156"/>
      <c r="Z255" s="156" t="s">
        <v>1832</v>
      </c>
      <c r="AA255" s="156"/>
      <c r="AB255" s="156"/>
      <c r="AC255" s="156" t="s">
        <v>1832</v>
      </c>
      <c r="AD255" s="156"/>
      <c r="AE255" s="156"/>
      <c r="AF255" s="156"/>
      <c r="AG255" s="156"/>
      <c r="AH255" s="156"/>
      <c r="AI255" s="156" t="s">
        <v>1833</v>
      </c>
      <c r="AJ255" s="156"/>
      <c r="AK255" s="156"/>
      <c r="AL255" s="156"/>
      <c r="AM255" s="156"/>
      <c r="AN255" s="156"/>
      <c r="AO255" s="156" t="s">
        <v>1834</v>
      </c>
      <c r="AP255" s="156"/>
      <c r="AQ255" s="156"/>
      <c r="AR255" s="156"/>
      <c r="AS255" s="156"/>
      <c r="AT255" s="156"/>
    </row>
    <row r="256" customFormat="false" ht="39.95" hidden="false" customHeight="true" outlineLevel="0" collapsed="false">
      <c r="A256" s="157" t="str">
        <f aca="false">+A128</f>
        <v>Automatización Inteligente         </v>
      </c>
      <c r="B256" s="157"/>
      <c r="C256" s="157"/>
      <c r="D256" s="157"/>
      <c r="E256" s="157"/>
      <c r="F256" s="157"/>
      <c r="G256" s="157"/>
      <c r="H256" s="157"/>
      <c r="I256" s="157" t="n">
        <v>4500</v>
      </c>
      <c r="J256" s="157"/>
      <c r="K256" s="157"/>
      <c r="L256" s="157"/>
      <c r="M256" s="157"/>
      <c r="N256" s="157"/>
      <c r="O256" s="157"/>
      <c r="P256" s="157"/>
      <c r="Q256" s="146" t="n">
        <v>3500000</v>
      </c>
      <c r="R256" s="146"/>
      <c r="S256" s="146"/>
      <c r="T256" s="146"/>
      <c r="U256" s="146"/>
      <c r="V256" s="146"/>
      <c r="W256" s="158" t="n">
        <f aca="false">+Q256*(1+$F$251)</f>
        <v>3850000</v>
      </c>
      <c r="X256" s="158"/>
      <c r="Y256" s="158"/>
      <c r="Z256" s="158"/>
      <c r="AA256" s="158"/>
      <c r="AB256" s="158"/>
      <c r="AC256" s="158" t="n">
        <f aca="false">+W256*(1+$I$251)</f>
        <v>4235000</v>
      </c>
      <c r="AD256" s="158"/>
      <c r="AE256" s="158"/>
      <c r="AF256" s="158"/>
      <c r="AG256" s="158"/>
      <c r="AH256" s="158"/>
      <c r="AI256" s="158" t="n">
        <f aca="false">+AC256*(1+$L$251)</f>
        <v>4658500</v>
      </c>
      <c r="AJ256" s="158"/>
      <c r="AK256" s="158"/>
      <c r="AL256" s="158"/>
      <c r="AM256" s="158"/>
      <c r="AN256" s="158"/>
      <c r="AO256" s="158" t="n">
        <f aca="false">+AI256*(1+$O$251)</f>
        <v>5124350</v>
      </c>
      <c r="AP256" s="158"/>
      <c r="AQ256" s="158"/>
      <c r="AR256" s="158"/>
      <c r="AS256" s="158"/>
      <c r="AT256" s="158"/>
    </row>
    <row r="257" customFormat="false" ht="39.95" hidden="false" customHeight="true" outlineLevel="0" collapsed="false">
      <c r="A257" s="157" t="n">
        <f aca="false">+A129</f>
        <v>0</v>
      </c>
      <c r="B257" s="157"/>
      <c r="C257" s="157"/>
      <c r="D257" s="157"/>
      <c r="E257" s="157"/>
      <c r="F257" s="157"/>
      <c r="G257" s="157"/>
      <c r="H257" s="157"/>
      <c r="I257" s="157"/>
      <c r="J257" s="157"/>
      <c r="K257" s="157"/>
      <c r="L257" s="157"/>
      <c r="M257" s="157"/>
      <c r="N257" s="157"/>
      <c r="O257" s="157"/>
      <c r="P257" s="157"/>
      <c r="Q257" s="146"/>
      <c r="R257" s="146"/>
      <c r="S257" s="146"/>
      <c r="T257" s="146"/>
      <c r="U257" s="146"/>
      <c r="V257" s="146"/>
      <c r="W257" s="158" t="n">
        <f aca="false">+Q257*(1+$F$251)</f>
        <v>0</v>
      </c>
      <c r="X257" s="158"/>
      <c r="Y257" s="158"/>
      <c r="Z257" s="158"/>
      <c r="AA257" s="158"/>
      <c r="AB257" s="158"/>
      <c r="AC257" s="158" t="n">
        <f aca="false">+W257*(1+$I$251)</f>
        <v>0</v>
      </c>
      <c r="AD257" s="158"/>
      <c r="AE257" s="158"/>
      <c r="AF257" s="158"/>
      <c r="AG257" s="158"/>
      <c r="AH257" s="158"/>
      <c r="AI257" s="158" t="n">
        <f aca="false">+AC257*(1+$L$251)</f>
        <v>0</v>
      </c>
      <c r="AJ257" s="158"/>
      <c r="AK257" s="158"/>
      <c r="AL257" s="158"/>
      <c r="AM257" s="158"/>
      <c r="AN257" s="158"/>
      <c r="AO257" s="158" t="n">
        <f aca="false">+AI257*(1+$O$251)</f>
        <v>0</v>
      </c>
      <c r="AP257" s="158"/>
      <c r="AQ257" s="158"/>
      <c r="AR257" s="158"/>
      <c r="AS257" s="158"/>
      <c r="AT257" s="158"/>
    </row>
    <row r="258" customFormat="false" ht="39.95" hidden="false" customHeight="true" outlineLevel="0" collapsed="false">
      <c r="A258" s="157" t="n">
        <f aca="false">+A130</f>
        <v>0</v>
      </c>
      <c r="B258" s="157"/>
      <c r="C258" s="157"/>
      <c r="D258" s="157"/>
      <c r="E258" s="157"/>
      <c r="F258" s="157"/>
      <c r="G258" s="157"/>
      <c r="H258" s="157"/>
      <c r="I258" s="157"/>
      <c r="J258" s="157"/>
      <c r="K258" s="157"/>
      <c r="L258" s="157"/>
      <c r="M258" s="157"/>
      <c r="N258" s="157"/>
      <c r="O258" s="157"/>
      <c r="P258" s="157"/>
      <c r="Q258" s="146"/>
      <c r="R258" s="146"/>
      <c r="S258" s="146"/>
      <c r="T258" s="146"/>
      <c r="U258" s="146"/>
      <c r="V258" s="146"/>
      <c r="W258" s="158" t="n">
        <f aca="false">+Q258*(1+$F$251)</f>
        <v>0</v>
      </c>
      <c r="X258" s="158"/>
      <c r="Y258" s="158"/>
      <c r="Z258" s="158"/>
      <c r="AA258" s="158"/>
      <c r="AB258" s="158"/>
      <c r="AC258" s="158" t="n">
        <f aca="false">+W258*(1+$I$251)</f>
        <v>0</v>
      </c>
      <c r="AD258" s="158"/>
      <c r="AE258" s="158"/>
      <c r="AF258" s="158"/>
      <c r="AG258" s="158"/>
      <c r="AH258" s="158"/>
      <c r="AI258" s="158" t="n">
        <f aca="false">+AC258*(1+$L$251)</f>
        <v>0</v>
      </c>
      <c r="AJ258" s="158"/>
      <c r="AK258" s="158"/>
      <c r="AL258" s="158"/>
      <c r="AM258" s="158"/>
      <c r="AN258" s="158"/>
      <c r="AO258" s="158" t="n">
        <f aca="false">+AI258*(1+$O$251)</f>
        <v>0</v>
      </c>
      <c r="AP258" s="158"/>
      <c r="AQ258" s="158"/>
      <c r="AR258" s="158"/>
      <c r="AS258" s="158"/>
      <c r="AT258" s="158"/>
    </row>
    <row r="261" customFormat="false" ht="47.25" hidden="false" customHeight="true" outlineLevel="0" collapsed="false">
      <c r="A261" s="62" t="s">
        <v>1838</v>
      </c>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row>
    <row r="264" customFormat="false" ht="27" hidden="false" customHeight="true" outlineLevel="0" collapsed="false">
      <c r="A264" s="79" t="s">
        <v>1839</v>
      </c>
      <c r="B264" s="79"/>
      <c r="C264" s="79"/>
      <c r="D264" s="79"/>
      <c r="E264" s="79"/>
      <c r="F264" s="79"/>
      <c r="G264" s="79"/>
      <c r="H264" s="79"/>
      <c r="I264" s="79"/>
      <c r="J264" s="79"/>
      <c r="K264" s="79"/>
      <c r="L264" s="79"/>
      <c r="M264" s="159" t="str">
        <f aca="false">+A256</f>
        <v>Automatización Inteligente         </v>
      </c>
      <c r="N264" s="159"/>
      <c r="O264" s="159"/>
      <c r="P264" s="159"/>
      <c r="Q264" s="159"/>
      <c r="R264" s="159"/>
      <c r="S264" s="159"/>
      <c r="T264" s="159"/>
      <c r="U264" s="159"/>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59"/>
      <c r="AT264" s="159"/>
      <c r="AU264" s="159"/>
      <c r="AV264" s="159"/>
      <c r="AW264" s="159"/>
      <c r="AX264" s="159"/>
      <c r="AY264" s="159"/>
      <c r="AZ264" s="159"/>
      <c r="BA264" s="159"/>
      <c r="BB264" s="159"/>
      <c r="BC264" s="159"/>
      <c r="BD264" s="159"/>
      <c r="BE264" s="159"/>
      <c r="BF264" s="159"/>
      <c r="BG264" s="159"/>
      <c r="BH264" s="159"/>
      <c r="BI264" s="159"/>
      <c r="BJ264" s="159"/>
      <c r="BK264" s="159"/>
      <c r="BL264" s="159"/>
      <c r="BM264" s="159"/>
      <c r="BN264" s="159"/>
    </row>
    <row r="266" customFormat="false" ht="27" hidden="false" customHeight="true" outlineLevel="0" collapsed="false">
      <c r="G266" s="79" t="s">
        <v>1840</v>
      </c>
      <c r="H266" s="79"/>
      <c r="I266" s="79"/>
      <c r="J266" s="79"/>
      <c r="K266" s="79"/>
      <c r="L266" s="79"/>
      <c r="M266" s="79"/>
      <c r="N266" s="79"/>
      <c r="O266" s="79"/>
      <c r="P266" s="79"/>
      <c r="Q266" s="79"/>
      <c r="R266" s="79"/>
      <c r="S266" s="79" t="s">
        <v>1841</v>
      </c>
      <c r="T266" s="79"/>
      <c r="U266" s="79"/>
      <c r="V266" s="79"/>
      <c r="W266" s="79"/>
      <c r="X266" s="79"/>
      <c r="Y266" s="79"/>
      <c r="Z266" s="79"/>
      <c r="AA266" s="79"/>
      <c r="AB266" s="79"/>
      <c r="AC266" s="79"/>
      <c r="AD266" s="79"/>
      <c r="AE266" s="79" t="s">
        <v>1842</v>
      </c>
      <c r="AF266" s="79"/>
      <c r="AG266" s="79"/>
      <c r="AH266" s="79"/>
      <c r="AI266" s="79"/>
      <c r="AJ266" s="79"/>
      <c r="AK266" s="79"/>
      <c r="AL266" s="79"/>
      <c r="AM266" s="79"/>
      <c r="AN266" s="79"/>
      <c r="AO266" s="79"/>
      <c r="AP266" s="79"/>
      <c r="AQ266" s="79" t="s">
        <v>1843</v>
      </c>
      <c r="AR266" s="79"/>
      <c r="AS266" s="79"/>
      <c r="AT266" s="79"/>
      <c r="AU266" s="79"/>
      <c r="AV266" s="79"/>
      <c r="AW266" s="79"/>
      <c r="AX266" s="79"/>
      <c r="AY266" s="79"/>
      <c r="AZ266" s="79"/>
      <c r="BA266" s="79"/>
      <c r="BB266" s="79"/>
      <c r="BC266" s="79" t="s">
        <v>1844</v>
      </c>
      <c r="BD266" s="79"/>
      <c r="BE266" s="79"/>
      <c r="BF266" s="79"/>
      <c r="BG266" s="79"/>
      <c r="BH266" s="79"/>
      <c r="BI266" s="79"/>
      <c r="BJ266" s="79"/>
      <c r="BK266" s="79"/>
      <c r="BL266" s="79"/>
      <c r="BM266" s="79"/>
      <c r="BN266" s="79"/>
    </row>
    <row r="267" customFormat="false" ht="29.25" hidden="false" customHeight="true" outlineLevel="0" collapsed="false">
      <c r="G267" s="79" t="s">
        <v>1845</v>
      </c>
      <c r="H267" s="79"/>
      <c r="I267" s="79"/>
      <c r="J267" s="79"/>
      <c r="K267" s="79" t="s">
        <v>1846</v>
      </c>
      <c r="L267" s="79"/>
      <c r="M267" s="79"/>
      <c r="N267" s="79"/>
      <c r="O267" s="79"/>
      <c r="P267" s="79"/>
      <c r="Q267" s="79"/>
      <c r="R267" s="79"/>
      <c r="S267" s="79" t="s">
        <v>1845</v>
      </c>
      <c r="T267" s="79"/>
      <c r="U267" s="79"/>
      <c r="V267" s="79"/>
      <c r="W267" s="79" t="s">
        <v>1846</v>
      </c>
      <c r="X267" s="79"/>
      <c r="Y267" s="79"/>
      <c r="Z267" s="79"/>
      <c r="AA267" s="79"/>
      <c r="AB267" s="79"/>
      <c r="AC267" s="79"/>
      <c r="AD267" s="79"/>
      <c r="AE267" s="79" t="s">
        <v>1845</v>
      </c>
      <c r="AF267" s="79"/>
      <c r="AG267" s="79"/>
      <c r="AH267" s="79"/>
      <c r="AI267" s="79" t="s">
        <v>1846</v>
      </c>
      <c r="AJ267" s="79"/>
      <c r="AK267" s="79"/>
      <c r="AL267" s="79"/>
      <c r="AM267" s="79"/>
      <c r="AN267" s="79"/>
      <c r="AO267" s="79"/>
      <c r="AP267" s="79"/>
      <c r="AQ267" s="79" t="s">
        <v>1845</v>
      </c>
      <c r="AR267" s="79"/>
      <c r="AS267" s="79"/>
      <c r="AT267" s="79"/>
      <c r="AU267" s="79" t="s">
        <v>1846</v>
      </c>
      <c r="AV267" s="79"/>
      <c r="AW267" s="79"/>
      <c r="AX267" s="79"/>
      <c r="AY267" s="79"/>
      <c r="AZ267" s="79"/>
      <c r="BA267" s="79"/>
      <c r="BB267" s="79"/>
      <c r="BC267" s="79" t="s">
        <v>1845</v>
      </c>
      <c r="BD267" s="79"/>
      <c r="BE267" s="79"/>
      <c r="BF267" s="79"/>
      <c r="BG267" s="79" t="s">
        <v>1846</v>
      </c>
      <c r="BH267" s="79"/>
      <c r="BI267" s="79"/>
      <c r="BJ267" s="79"/>
      <c r="BK267" s="79"/>
      <c r="BL267" s="79"/>
      <c r="BM267" s="79"/>
      <c r="BN267" s="79"/>
    </row>
    <row r="268" customFormat="false" ht="39.95" hidden="false" customHeight="true" outlineLevel="0" collapsed="false">
      <c r="A268" s="156" t="s">
        <v>1847</v>
      </c>
      <c r="B268" s="156"/>
      <c r="C268" s="156"/>
      <c r="D268" s="156"/>
      <c r="E268" s="156"/>
      <c r="F268" s="156"/>
      <c r="G268" s="114" t="n">
        <v>1</v>
      </c>
      <c r="H268" s="114"/>
      <c r="I268" s="114"/>
      <c r="J268" s="114"/>
      <c r="K268" s="158" t="n">
        <f aca="false">+G268*$Q$256</f>
        <v>3500000</v>
      </c>
      <c r="L268" s="158"/>
      <c r="M268" s="158"/>
      <c r="N268" s="158"/>
      <c r="O268" s="158"/>
      <c r="P268" s="158"/>
      <c r="Q268" s="158"/>
      <c r="R268" s="158"/>
      <c r="S268" s="114" t="n">
        <v>3</v>
      </c>
      <c r="T268" s="114"/>
      <c r="U268" s="114"/>
      <c r="V268" s="114"/>
      <c r="W268" s="158" t="n">
        <f aca="false">+S268*$W$256</f>
        <v>11550000</v>
      </c>
      <c r="X268" s="158"/>
      <c r="Y268" s="158"/>
      <c r="Z268" s="158"/>
      <c r="AA268" s="158"/>
      <c r="AB268" s="158"/>
      <c r="AC268" s="158"/>
      <c r="AD268" s="158"/>
      <c r="AE268" s="114" t="n">
        <v>5</v>
      </c>
      <c r="AF268" s="114"/>
      <c r="AG268" s="114"/>
      <c r="AH268" s="114"/>
      <c r="AI268" s="158" t="n">
        <f aca="false">+AE268*$AC$256</f>
        <v>21175000</v>
      </c>
      <c r="AJ268" s="158"/>
      <c r="AK268" s="158"/>
      <c r="AL268" s="158"/>
      <c r="AM268" s="158"/>
      <c r="AN268" s="158"/>
      <c r="AO268" s="158"/>
      <c r="AP268" s="158"/>
      <c r="AQ268" s="114" t="n">
        <v>6</v>
      </c>
      <c r="AR268" s="114"/>
      <c r="AS268" s="114"/>
      <c r="AT268" s="114"/>
      <c r="AU268" s="158" t="n">
        <f aca="false">+AQ268*$AI$256</f>
        <v>27951000</v>
      </c>
      <c r="AV268" s="158"/>
      <c r="AW268" s="158"/>
      <c r="AX268" s="158"/>
      <c r="AY268" s="158"/>
      <c r="AZ268" s="158"/>
      <c r="BA268" s="158"/>
      <c r="BB268" s="158"/>
      <c r="BC268" s="114" t="n">
        <v>7</v>
      </c>
      <c r="BD268" s="114"/>
      <c r="BE268" s="114"/>
      <c r="BF268" s="114"/>
      <c r="BG268" s="158" t="n">
        <f aca="false">+BC268*$AO$256</f>
        <v>35870450</v>
      </c>
      <c r="BH268" s="158"/>
      <c r="BI268" s="158"/>
      <c r="BJ268" s="158"/>
      <c r="BK268" s="158"/>
      <c r="BL268" s="158"/>
      <c r="BM268" s="158"/>
      <c r="BN268" s="158"/>
    </row>
    <row r="269" customFormat="false" ht="39.95" hidden="false" customHeight="true" outlineLevel="0" collapsed="false">
      <c r="A269" s="156" t="s">
        <v>1848</v>
      </c>
      <c r="B269" s="156"/>
      <c r="C269" s="156"/>
      <c r="D269" s="156"/>
      <c r="E269" s="156"/>
      <c r="F269" s="156"/>
      <c r="G269" s="114" t="n">
        <v>1</v>
      </c>
      <c r="H269" s="114"/>
      <c r="I269" s="114"/>
      <c r="J269" s="114"/>
      <c r="K269" s="158" t="n">
        <f aca="false">+G269*$Q$256</f>
        <v>3500000</v>
      </c>
      <c r="L269" s="158"/>
      <c r="M269" s="158"/>
      <c r="N269" s="158"/>
      <c r="O269" s="158"/>
      <c r="P269" s="158"/>
      <c r="Q269" s="158"/>
      <c r="R269" s="158"/>
      <c r="S269" s="114" t="n">
        <v>3</v>
      </c>
      <c r="T269" s="114"/>
      <c r="U269" s="114"/>
      <c r="V269" s="114"/>
      <c r="W269" s="158" t="n">
        <f aca="false">+S269*$W$256</f>
        <v>11550000</v>
      </c>
      <c r="X269" s="158"/>
      <c r="Y269" s="158"/>
      <c r="Z269" s="158"/>
      <c r="AA269" s="158"/>
      <c r="AB269" s="158"/>
      <c r="AC269" s="158"/>
      <c r="AD269" s="158"/>
      <c r="AE269" s="114" t="n">
        <v>5</v>
      </c>
      <c r="AF269" s="114"/>
      <c r="AG269" s="114"/>
      <c r="AH269" s="114"/>
      <c r="AI269" s="158" t="n">
        <f aca="false">+AE269*$AC$256</f>
        <v>21175000</v>
      </c>
      <c r="AJ269" s="158"/>
      <c r="AK269" s="158"/>
      <c r="AL269" s="158"/>
      <c r="AM269" s="158"/>
      <c r="AN269" s="158"/>
      <c r="AO269" s="158"/>
      <c r="AP269" s="158"/>
      <c r="AQ269" s="114" t="n">
        <v>6</v>
      </c>
      <c r="AR269" s="114"/>
      <c r="AS269" s="114"/>
      <c r="AT269" s="114"/>
      <c r="AU269" s="158" t="n">
        <f aca="false">+AQ269*$AI$256</f>
        <v>27951000</v>
      </c>
      <c r="AV269" s="158"/>
      <c r="AW269" s="158"/>
      <c r="AX269" s="158"/>
      <c r="AY269" s="158"/>
      <c r="AZ269" s="158"/>
      <c r="BA269" s="158"/>
      <c r="BB269" s="158"/>
      <c r="BC269" s="114" t="n">
        <v>7</v>
      </c>
      <c r="BD269" s="114"/>
      <c r="BE269" s="114"/>
      <c r="BF269" s="114"/>
      <c r="BG269" s="158" t="n">
        <f aca="false">+BC269*$AO$256</f>
        <v>35870450</v>
      </c>
      <c r="BH269" s="158"/>
      <c r="BI269" s="158"/>
      <c r="BJ269" s="158"/>
      <c r="BK269" s="158"/>
      <c r="BL269" s="158"/>
      <c r="BM269" s="158"/>
      <c r="BN269" s="158"/>
    </row>
    <row r="270" customFormat="false" ht="39.95" hidden="false" customHeight="true" outlineLevel="0" collapsed="false">
      <c r="A270" s="156" t="s">
        <v>1849</v>
      </c>
      <c r="B270" s="156"/>
      <c r="C270" s="156"/>
      <c r="D270" s="156"/>
      <c r="E270" s="156"/>
      <c r="F270" s="156"/>
      <c r="G270" s="114" t="n">
        <v>1</v>
      </c>
      <c r="H270" s="114"/>
      <c r="I270" s="114"/>
      <c r="J270" s="114"/>
      <c r="K270" s="158" t="n">
        <f aca="false">+G270*$Q$256</f>
        <v>3500000</v>
      </c>
      <c r="L270" s="158"/>
      <c r="M270" s="158"/>
      <c r="N270" s="158"/>
      <c r="O270" s="158"/>
      <c r="P270" s="158"/>
      <c r="Q270" s="158"/>
      <c r="R270" s="158"/>
      <c r="S270" s="114" t="n">
        <v>3</v>
      </c>
      <c r="T270" s="114"/>
      <c r="U270" s="114"/>
      <c r="V270" s="114"/>
      <c r="W270" s="158" t="n">
        <f aca="false">+S270*$W$256</f>
        <v>11550000</v>
      </c>
      <c r="X270" s="158"/>
      <c r="Y270" s="158"/>
      <c r="Z270" s="158"/>
      <c r="AA270" s="158"/>
      <c r="AB270" s="158"/>
      <c r="AC270" s="158"/>
      <c r="AD270" s="158"/>
      <c r="AE270" s="114" t="n">
        <v>5</v>
      </c>
      <c r="AF270" s="114"/>
      <c r="AG270" s="114"/>
      <c r="AH270" s="114"/>
      <c r="AI270" s="158" t="n">
        <f aca="false">+AE270*$AC$256</f>
        <v>21175000</v>
      </c>
      <c r="AJ270" s="158"/>
      <c r="AK270" s="158"/>
      <c r="AL270" s="158"/>
      <c r="AM270" s="158"/>
      <c r="AN270" s="158"/>
      <c r="AO270" s="158"/>
      <c r="AP270" s="158"/>
      <c r="AQ270" s="114" t="n">
        <v>6</v>
      </c>
      <c r="AR270" s="114"/>
      <c r="AS270" s="114"/>
      <c r="AT270" s="114"/>
      <c r="AU270" s="158" t="n">
        <f aca="false">+AQ270*$AI$256</f>
        <v>27951000</v>
      </c>
      <c r="AV270" s="158"/>
      <c r="AW270" s="158"/>
      <c r="AX270" s="158"/>
      <c r="AY270" s="158"/>
      <c r="AZ270" s="158"/>
      <c r="BA270" s="158"/>
      <c r="BB270" s="158"/>
      <c r="BC270" s="114" t="n">
        <v>7</v>
      </c>
      <c r="BD270" s="114"/>
      <c r="BE270" s="114"/>
      <c r="BF270" s="114"/>
      <c r="BG270" s="158" t="n">
        <f aca="false">+BC270*$AO$256</f>
        <v>35870450</v>
      </c>
      <c r="BH270" s="158"/>
      <c r="BI270" s="158"/>
      <c r="BJ270" s="158"/>
      <c r="BK270" s="158"/>
      <c r="BL270" s="158"/>
      <c r="BM270" s="158"/>
      <c r="BN270" s="158"/>
    </row>
    <row r="271" customFormat="false" ht="39.95" hidden="false" customHeight="true" outlineLevel="0" collapsed="false">
      <c r="A271" s="156" t="s">
        <v>1850</v>
      </c>
      <c r="B271" s="156"/>
      <c r="C271" s="156"/>
      <c r="D271" s="156"/>
      <c r="E271" s="156"/>
      <c r="F271" s="156"/>
      <c r="G271" s="114" t="n">
        <v>1</v>
      </c>
      <c r="H271" s="114"/>
      <c r="I271" s="114"/>
      <c r="J271" s="114"/>
      <c r="K271" s="158" t="n">
        <f aca="false">+G271*$Q$256</f>
        <v>3500000</v>
      </c>
      <c r="L271" s="158"/>
      <c r="M271" s="158"/>
      <c r="N271" s="158"/>
      <c r="O271" s="158"/>
      <c r="P271" s="158"/>
      <c r="Q271" s="158"/>
      <c r="R271" s="158"/>
      <c r="S271" s="114" t="n">
        <v>3</v>
      </c>
      <c r="T271" s="114"/>
      <c r="U271" s="114"/>
      <c r="V271" s="114"/>
      <c r="W271" s="158" t="n">
        <f aca="false">+S271*$W$256</f>
        <v>11550000</v>
      </c>
      <c r="X271" s="158"/>
      <c r="Y271" s="158"/>
      <c r="Z271" s="158"/>
      <c r="AA271" s="158"/>
      <c r="AB271" s="158"/>
      <c r="AC271" s="158"/>
      <c r="AD271" s="158"/>
      <c r="AE271" s="114" t="n">
        <v>5</v>
      </c>
      <c r="AF271" s="114"/>
      <c r="AG271" s="114"/>
      <c r="AH271" s="114"/>
      <c r="AI271" s="158" t="n">
        <f aca="false">+AE271*$AC$256</f>
        <v>21175000</v>
      </c>
      <c r="AJ271" s="158"/>
      <c r="AK271" s="158"/>
      <c r="AL271" s="158"/>
      <c r="AM271" s="158"/>
      <c r="AN271" s="158"/>
      <c r="AO271" s="158"/>
      <c r="AP271" s="158"/>
      <c r="AQ271" s="114" t="n">
        <v>6</v>
      </c>
      <c r="AR271" s="114"/>
      <c r="AS271" s="114"/>
      <c r="AT271" s="114"/>
      <c r="AU271" s="158" t="n">
        <f aca="false">+AQ271*$AI$256</f>
        <v>27951000</v>
      </c>
      <c r="AV271" s="158"/>
      <c r="AW271" s="158"/>
      <c r="AX271" s="158"/>
      <c r="AY271" s="158"/>
      <c r="AZ271" s="158"/>
      <c r="BA271" s="158"/>
      <c r="BB271" s="158"/>
      <c r="BC271" s="114" t="n">
        <v>7</v>
      </c>
      <c r="BD271" s="114"/>
      <c r="BE271" s="114"/>
      <c r="BF271" s="114"/>
      <c r="BG271" s="158" t="n">
        <f aca="false">+BC271*$AO$256</f>
        <v>35870450</v>
      </c>
      <c r="BH271" s="158"/>
      <c r="BI271" s="158"/>
      <c r="BJ271" s="158"/>
      <c r="BK271" s="158"/>
      <c r="BL271" s="158"/>
      <c r="BM271" s="158"/>
      <c r="BN271" s="158"/>
    </row>
    <row r="272" customFormat="false" ht="39.95" hidden="false" customHeight="true" outlineLevel="0" collapsed="false">
      <c r="A272" s="156" t="s">
        <v>1851</v>
      </c>
      <c r="B272" s="156"/>
      <c r="C272" s="156"/>
      <c r="D272" s="156"/>
      <c r="E272" s="156"/>
      <c r="F272" s="156"/>
      <c r="G272" s="114" t="n">
        <v>1</v>
      </c>
      <c r="H272" s="114"/>
      <c r="I272" s="114"/>
      <c r="J272" s="114"/>
      <c r="K272" s="158" t="n">
        <f aca="false">+G272*$Q$256</f>
        <v>3500000</v>
      </c>
      <c r="L272" s="158"/>
      <c r="M272" s="158"/>
      <c r="N272" s="158"/>
      <c r="O272" s="158"/>
      <c r="P272" s="158"/>
      <c r="Q272" s="158"/>
      <c r="R272" s="158"/>
      <c r="S272" s="114" t="n">
        <v>3</v>
      </c>
      <c r="T272" s="114"/>
      <c r="U272" s="114"/>
      <c r="V272" s="114"/>
      <c r="W272" s="158" t="n">
        <f aca="false">+S272*$W$256</f>
        <v>11550000</v>
      </c>
      <c r="X272" s="158"/>
      <c r="Y272" s="158"/>
      <c r="Z272" s="158"/>
      <c r="AA272" s="158"/>
      <c r="AB272" s="158"/>
      <c r="AC272" s="158"/>
      <c r="AD272" s="158"/>
      <c r="AE272" s="114" t="n">
        <v>5</v>
      </c>
      <c r="AF272" s="114"/>
      <c r="AG272" s="114"/>
      <c r="AH272" s="114"/>
      <c r="AI272" s="158" t="n">
        <f aca="false">+AE272*$AC$256</f>
        <v>21175000</v>
      </c>
      <c r="AJ272" s="158"/>
      <c r="AK272" s="158"/>
      <c r="AL272" s="158"/>
      <c r="AM272" s="158"/>
      <c r="AN272" s="158"/>
      <c r="AO272" s="158"/>
      <c r="AP272" s="158"/>
      <c r="AQ272" s="114" t="n">
        <v>6</v>
      </c>
      <c r="AR272" s="114"/>
      <c r="AS272" s="114"/>
      <c r="AT272" s="114"/>
      <c r="AU272" s="158" t="n">
        <f aca="false">+AQ272*$AI$256</f>
        <v>27951000</v>
      </c>
      <c r="AV272" s="158"/>
      <c r="AW272" s="158"/>
      <c r="AX272" s="158"/>
      <c r="AY272" s="158"/>
      <c r="AZ272" s="158"/>
      <c r="BA272" s="158"/>
      <c r="BB272" s="158"/>
      <c r="BC272" s="114" t="n">
        <v>7</v>
      </c>
      <c r="BD272" s="114"/>
      <c r="BE272" s="114"/>
      <c r="BF272" s="114"/>
      <c r="BG272" s="158" t="n">
        <f aca="false">+BC272*$AO$256</f>
        <v>35870450</v>
      </c>
      <c r="BH272" s="158"/>
      <c r="BI272" s="158"/>
      <c r="BJ272" s="158"/>
      <c r="BK272" s="158"/>
      <c r="BL272" s="158"/>
      <c r="BM272" s="158"/>
      <c r="BN272" s="158"/>
    </row>
    <row r="273" customFormat="false" ht="39.95" hidden="false" customHeight="true" outlineLevel="0" collapsed="false">
      <c r="A273" s="156" t="s">
        <v>1852</v>
      </c>
      <c r="B273" s="156"/>
      <c r="C273" s="156"/>
      <c r="D273" s="156"/>
      <c r="E273" s="156"/>
      <c r="F273" s="156"/>
      <c r="G273" s="114" t="n">
        <v>1</v>
      </c>
      <c r="H273" s="114"/>
      <c r="I273" s="114"/>
      <c r="J273" s="114"/>
      <c r="K273" s="158" t="n">
        <f aca="false">+G273*$Q$256</f>
        <v>3500000</v>
      </c>
      <c r="L273" s="158"/>
      <c r="M273" s="158"/>
      <c r="N273" s="158"/>
      <c r="O273" s="158"/>
      <c r="P273" s="158"/>
      <c r="Q273" s="158"/>
      <c r="R273" s="158"/>
      <c r="S273" s="114" t="n">
        <v>3</v>
      </c>
      <c r="T273" s="114"/>
      <c r="U273" s="114"/>
      <c r="V273" s="114"/>
      <c r="W273" s="158" t="n">
        <f aca="false">+S273*$W$256</f>
        <v>11550000</v>
      </c>
      <c r="X273" s="158"/>
      <c r="Y273" s="158"/>
      <c r="Z273" s="158"/>
      <c r="AA273" s="158"/>
      <c r="AB273" s="158"/>
      <c r="AC273" s="158"/>
      <c r="AD273" s="158"/>
      <c r="AE273" s="114" t="n">
        <v>5</v>
      </c>
      <c r="AF273" s="114"/>
      <c r="AG273" s="114"/>
      <c r="AH273" s="114"/>
      <c r="AI273" s="158" t="n">
        <f aca="false">+AE273*$AC$256</f>
        <v>21175000</v>
      </c>
      <c r="AJ273" s="158"/>
      <c r="AK273" s="158"/>
      <c r="AL273" s="158"/>
      <c r="AM273" s="158"/>
      <c r="AN273" s="158"/>
      <c r="AO273" s="158"/>
      <c r="AP273" s="158"/>
      <c r="AQ273" s="114" t="n">
        <v>6</v>
      </c>
      <c r="AR273" s="114"/>
      <c r="AS273" s="114"/>
      <c r="AT273" s="114"/>
      <c r="AU273" s="158" t="n">
        <f aca="false">+AQ273*$AI$256</f>
        <v>27951000</v>
      </c>
      <c r="AV273" s="158"/>
      <c r="AW273" s="158"/>
      <c r="AX273" s="158"/>
      <c r="AY273" s="158"/>
      <c r="AZ273" s="158"/>
      <c r="BA273" s="158"/>
      <c r="BB273" s="158"/>
      <c r="BC273" s="114" t="n">
        <v>7</v>
      </c>
      <c r="BD273" s="114"/>
      <c r="BE273" s="114"/>
      <c r="BF273" s="114"/>
      <c r="BG273" s="158" t="n">
        <f aca="false">+BC273*$AO$256</f>
        <v>35870450</v>
      </c>
      <c r="BH273" s="158"/>
      <c r="BI273" s="158"/>
      <c r="BJ273" s="158"/>
      <c r="BK273" s="158"/>
      <c r="BL273" s="158"/>
      <c r="BM273" s="158"/>
      <c r="BN273" s="158"/>
    </row>
    <row r="274" customFormat="false" ht="39.95" hidden="false" customHeight="true" outlineLevel="0" collapsed="false">
      <c r="A274" s="156" t="s">
        <v>1853</v>
      </c>
      <c r="B274" s="156"/>
      <c r="C274" s="156"/>
      <c r="D274" s="156"/>
      <c r="E274" s="156"/>
      <c r="F274" s="156"/>
      <c r="G274" s="114" t="n">
        <v>2</v>
      </c>
      <c r="H274" s="114"/>
      <c r="I274" s="114"/>
      <c r="J274" s="114"/>
      <c r="K274" s="158" t="n">
        <f aca="false">+G274*$Q$256</f>
        <v>7000000</v>
      </c>
      <c r="L274" s="158"/>
      <c r="M274" s="158"/>
      <c r="N274" s="158"/>
      <c r="O274" s="158"/>
      <c r="P274" s="158"/>
      <c r="Q274" s="158"/>
      <c r="R274" s="158"/>
      <c r="S274" s="114" t="n">
        <v>4</v>
      </c>
      <c r="T274" s="114"/>
      <c r="U274" s="114"/>
      <c r="V274" s="114"/>
      <c r="W274" s="158" t="n">
        <f aca="false">+S274*$W$256</f>
        <v>15400000</v>
      </c>
      <c r="X274" s="158"/>
      <c r="Y274" s="158"/>
      <c r="Z274" s="158"/>
      <c r="AA274" s="158"/>
      <c r="AB274" s="158"/>
      <c r="AC274" s="158"/>
      <c r="AD274" s="158"/>
      <c r="AE274" s="114" t="n">
        <v>5</v>
      </c>
      <c r="AF274" s="114"/>
      <c r="AG274" s="114"/>
      <c r="AH274" s="114"/>
      <c r="AI274" s="158" t="n">
        <f aca="false">+AE274*$AC$256</f>
        <v>21175000</v>
      </c>
      <c r="AJ274" s="158"/>
      <c r="AK274" s="158"/>
      <c r="AL274" s="158"/>
      <c r="AM274" s="158"/>
      <c r="AN274" s="158"/>
      <c r="AO274" s="158"/>
      <c r="AP274" s="158"/>
      <c r="AQ274" s="114" t="n">
        <v>6</v>
      </c>
      <c r="AR274" s="114"/>
      <c r="AS274" s="114"/>
      <c r="AT274" s="114"/>
      <c r="AU274" s="158" t="n">
        <f aca="false">+AQ274*$AI$256</f>
        <v>27951000</v>
      </c>
      <c r="AV274" s="158"/>
      <c r="AW274" s="158"/>
      <c r="AX274" s="158"/>
      <c r="AY274" s="158"/>
      <c r="AZ274" s="158"/>
      <c r="BA274" s="158"/>
      <c r="BB274" s="158"/>
      <c r="BC274" s="114" t="n">
        <v>7</v>
      </c>
      <c r="BD274" s="114"/>
      <c r="BE274" s="114"/>
      <c r="BF274" s="114"/>
      <c r="BG274" s="158" t="n">
        <f aca="false">+BC274*$AO$256</f>
        <v>35870450</v>
      </c>
      <c r="BH274" s="158"/>
      <c r="BI274" s="158"/>
      <c r="BJ274" s="158"/>
      <c r="BK274" s="158"/>
      <c r="BL274" s="158"/>
      <c r="BM274" s="158"/>
      <c r="BN274" s="158"/>
    </row>
    <row r="275" customFormat="false" ht="39.95" hidden="false" customHeight="true" outlineLevel="0" collapsed="false">
      <c r="A275" s="156" t="s">
        <v>1854</v>
      </c>
      <c r="B275" s="156"/>
      <c r="C275" s="156"/>
      <c r="D275" s="156"/>
      <c r="E275" s="156"/>
      <c r="F275" s="156"/>
      <c r="G275" s="114" t="n">
        <v>2</v>
      </c>
      <c r="H275" s="114"/>
      <c r="I275" s="114"/>
      <c r="J275" s="114"/>
      <c r="K275" s="158" t="n">
        <f aca="false">+G275*$Q$256</f>
        <v>7000000</v>
      </c>
      <c r="L275" s="158"/>
      <c r="M275" s="158"/>
      <c r="N275" s="158"/>
      <c r="O275" s="158"/>
      <c r="P275" s="158"/>
      <c r="Q275" s="158"/>
      <c r="R275" s="158"/>
      <c r="S275" s="114" t="n">
        <v>4</v>
      </c>
      <c r="T275" s="114"/>
      <c r="U275" s="114"/>
      <c r="V275" s="114"/>
      <c r="W275" s="158" t="n">
        <f aca="false">+S275*$W$256</f>
        <v>15400000</v>
      </c>
      <c r="X275" s="158"/>
      <c r="Y275" s="158"/>
      <c r="Z275" s="158"/>
      <c r="AA275" s="158"/>
      <c r="AB275" s="158"/>
      <c r="AC275" s="158"/>
      <c r="AD275" s="158"/>
      <c r="AE275" s="114" t="n">
        <v>5</v>
      </c>
      <c r="AF275" s="114"/>
      <c r="AG275" s="114"/>
      <c r="AH275" s="114"/>
      <c r="AI275" s="158" t="n">
        <f aca="false">+AE275*$AC$256</f>
        <v>21175000</v>
      </c>
      <c r="AJ275" s="158"/>
      <c r="AK275" s="158"/>
      <c r="AL275" s="158"/>
      <c r="AM275" s="158"/>
      <c r="AN275" s="158"/>
      <c r="AO275" s="158"/>
      <c r="AP275" s="158"/>
      <c r="AQ275" s="114" t="n">
        <v>6</v>
      </c>
      <c r="AR275" s="114"/>
      <c r="AS275" s="114"/>
      <c r="AT275" s="114"/>
      <c r="AU275" s="158" t="n">
        <f aca="false">+AQ275*$AI$256</f>
        <v>27951000</v>
      </c>
      <c r="AV275" s="158"/>
      <c r="AW275" s="158"/>
      <c r="AX275" s="158"/>
      <c r="AY275" s="158"/>
      <c r="AZ275" s="158"/>
      <c r="BA275" s="158"/>
      <c r="BB275" s="158"/>
      <c r="BC275" s="114" t="n">
        <v>7</v>
      </c>
      <c r="BD275" s="114"/>
      <c r="BE275" s="114"/>
      <c r="BF275" s="114"/>
      <c r="BG275" s="158" t="n">
        <f aca="false">+BC275*$AO$256</f>
        <v>35870450</v>
      </c>
      <c r="BH275" s="158"/>
      <c r="BI275" s="158"/>
      <c r="BJ275" s="158"/>
      <c r="BK275" s="158"/>
      <c r="BL275" s="158"/>
      <c r="BM275" s="158"/>
      <c r="BN275" s="158"/>
    </row>
    <row r="276" customFormat="false" ht="39.95" hidden="false" customHeight="true" outlineLevel="0" collapsed="false">
      <c r="A276" s="156" t="s">
        <v>1855</v>
      </c>
      <c r="B276" s="156"/>
      <c r="C276" s="156"/>
      <c r="D276" s="156"/>
      <c r="E276" s="156"/>
      <c r="F276" s="156"/>
      <c r="G276" s="114" t="n">
        <v>2</v>
      </c>
      <c r="H276" s="114"/>
      <c r="I276" s="114"/>
      <c r="J276" s="114"/>
      <c r="K276" s="158" t="n">
        <f aca="false">+G276*$Q$256</f>
        <v>7000000</v>
      </c>
      <c r="L276" s="158"/>
      <c r="M276" s="158"/>
      <c r="N276" s="158"/>
      <c r="O276" s="158"/>
      <c r="P276" s="158"/>
      <c r="Q276" s="158"/>
      <c r="R276" s="158"/>
      <c r="S276" s="114" t="n">
        <v>4</v>
      </c>
      <c r="T276" s="114"/>
      <c r="U276" s="114"/>
      <c r="V276" s="114"/>
      <c r="W276" s="158" t="n">
        <f aca="false">+S276*$W$256</f>
        <v>15400000</v>
      </c>
      <c r="X276" s="158"/>
      <c r="Y276" s="158"/>
      <c r="Z276" s="158"/>
      <c r="AA276" s="158"/>
      <c r="AB276" s="158"/>
      <c r="AC276" s="158"/>
      <c r="AD276" s="158"/>
      <c r="AE276" s="114" t="n">
        <v>5</v>
      </c>
      <c r="AF276" s="114"/>
      <c r="AG276" s="114"/>
      <c r="AH276" s="114"/>
      <c r="AI276" s="158" t="n">
        <f aca="false">+AE276*$AC$256</f>
        <v>21175000</v>
      </c>
      <c r="AJ276" s="158"/>
      <c r="AK276" s="158"/>
      <c r="AL276" s="158"/>
      <c r="AM276" s="158"/>
      <c r="AN276" s="158"/>
      <c r="AO276" s="158"/>
      <c r="AP276" s="158"/>
      <c r="AQ276" s="114" t="n">
        <v>6</v>
      </c>
      <c r="AR276" s="114"/>
      <c r="AS276" s="114"/>
      <c r="AT276" s="114"/>
      <c r="AU276" s="158" t="n">
        <f aca="false">+AQ276*$AI$256</f>
        <v>27951000</v>
      </c>
      <c r="AV276" s="158"/>
      <c r="AW276" s="158"/>
      <c r="AX276" s="158"/>
      <c r="AY276" s="158"/>
      <c r="AZ276" s="158"/>
      <c r="BA276" s="158"/>
      <c r="BB276" s="158"/>
      <c r="BC276" s="114" t="n">
        <v>8</v>
      </c>
      <c r="BD276" s="114"/>
      <c r="BE276" s="114"/>
      <c r="BF276" s="114"/>
      <c r="BG276" s="158" t="n">
        <f aca="false">+BC276*$AO$256</f>
        <v>40994800</v>
      </c>
      <c r="BH276" s="158"/>
      <c r="BI276" s="158"/>
      <c r="BJ276" s="158"/>
      <c r="BK276" s="158"/>
      <c r="BL276" s="158"/>
      <c r="BM276" s="158"/>
      <c r="BN276" s="158"/>
    </row>
    <row r="277" customFormat="false" ht="39.95" hidden="false" customHeight="true" outlineLevel="0" collapsed="false">
      <c r="A277" s="156" t="s">
        <v>1856</v>
      </c>
      <c r="B277" s="156"/>
      <c r="C277" s="156"/>
      <c r="D277" s="156"/>
      <c r="E277" s="156"/>
      <c r="F277" s="156"/>
      <c r="G277" s="114" t="n">
        <v>2</v>
      </c>
      <c r="H277" s="114"/>
      <c r="I277" s="114"/>
      <c r="J277" s="114"/>
      <c r="K277" s="158" t="n">
        <f aca="false">+G277*$Q$256</f>
        <v>7000000</v>
      </c>
      <c r="L277" s="158"/>
      <c r="M277" s="158"/>
      <c r="N277" s="158"/>
      <c r="O277" s="158"/>
      <c r="P277" s="158"/>
      <c r="Q277" s="158"/>
      <c r="R277" s="158"/>
      <c r="S277" s="114" t="n">
        <v>4</v>
      </c>
      <c r="T277" s="114"/>
      <c r="U277" s="114"/>
      <c r="V277" s="114"/>
      <c r="W277" s="158" t="n">
        <f aca="false">+S277*$W$256</f>
        <v>15400000</v>
      </c>
      <c r="X277" s="158"/>
      <c r="Y277" s="158"/>
      <c r="Z277" s="158"/>
      <c r="AA277" s="158"/>
      <c r="AB277" s="158"/>
      <c r="AC277" s="158"/>
      <c r="AD277" s="158"/>
      <c r="AE277" s="114" t="n">
        <v>5</v>
      </c>
      <c r="AF277" s="114"/>
      <c r="AG277" s="114"/>
      <c r="AH277" s="114"/>
      <c r="AI277" s="158" t="n">
        <f aca="false">+AE277*$AC$256</f>
        <v>21175000</v>
      </c>
      <c r="AJ277" s="158"/>
      <c r="AK277" s="158"/>
      <c r="AL277" s="158"/>
      <c r="AM277" s="158"/>
      <c r="AN277" s="158"/>
      <c r="AO277" s="158"/>
      <c r="AP277" s="158"/>
      <c r="AQ277" s="114" t="n">
        <v>6</v>
      </c>
      <c r="AR277" s="114"/>
      <c r="AS277" s="114"/>
      <c r="AT277" s="114"/>
      <c r="AU277" s="158" t="n">
        <f aca="false">+AQ277*$AI$256</f>
        <v>27951000</v>
      </c>
      <c r="AV277" s="158"/>
      <c r="AW277" s="158"/>
      <c r="AX277" s="158"/>
      <c r="AY277" s="158"/>
      <c r="AZ277" s="158"/>
      <c r="BA277" s="158"/>
      <c r="BB277" s="158"/>
      <c r="BC277" s="114" t="n">
        <v>8</v>
      </c>
      <c r="BD277" s="114"/>
      <c r="BE277" s="114"/>
      <c r="BF277" s="114"/>
      <c r="BG277" s="158" t="n">
        <f aca="false">+BC277*$AO$256</f>
        <v>40994800</v>
      </c>
      <c r="BH277" s="158"/>
      <c r="BI277" s="158"/>
      <c r="BJ277" s="158"/>
      <c r="BK277" s="158"/>
      <c r="BL277" s="158"/>
      <c r="BM277" s="158"/>
      <c r="BN277" s="158"/>
    </row>
    <row r="278" customFormat="false" ht="39.95" hidden="false" customHeight="true" outlineLevel="0" collapsed="false">
      <c r="A278" s="156" t="s">
        <v>1857</v>
      </c>
      <c r="B278" s="156"/>
      <c r="C278" s="156"/>
      <c r="D278" s="156"/>
      <c r="E278" s="156"/>
      <c r="F278" s="156"/>
      <c r="G278" s="114" t="n">
        <v>2</v>
      </c>
      <c r="H278" s="114"/>
      <c r="I278" s="114"/>
      <c r="J278" s="114"/>
      <c r="K278" s="158" t="n">
        <f aca="false">+G278*$Q$256</f>
        <v>7000000</v>
      </c>
      <c r="L278" s="158"/>
      <c r="M278" s="158"/>
      <c r="N278" s="158"/>
      <c r="O278" s="158"/>
      <c r="P278" s="158"/>
      <c r="Q278" s="158"/>
      <c r="R278" s="158"/>
      <c r="S278" s="114" t="n">
        <v>4</v>
      </c>
      <c r="T278" s="114"/>
      <c r="U278" s="114"/>
      <c r="V278" s="114"/>
      <c r="W278" s="158" t="n">
        <f aca="false">+S278*$W$256</f>
        <v>15400000</v>
      </c>
      <c r="X278" s="158"/>
      <c r="Y278" s="158"/>
      <c r="Z278" s="158"/>
      <c r="AA278" s="158"/>
      <c r="AB278" s="158"/>
      <c r="AC278" s="158"/>
      <c r="AD278" s="158"/>
      <c r="AE278" s="114" t="n">
        <v>5</v>
      </c>
      <c r="AF278" s="114"/>
      <c r="AG278" s="114"/>
      <c r="AH278" s="114"/>
      <c r="AI278" s="158" t="n">
        <f aca="false">+AE278*$AC$256</f>
        <v>21175000</v>
      </c>
      <c r="AJ278" s="158"/>
      <c r="AK278" s="158"/>
      <c r="AL278" s="158"/>
      <c r="AM278" s="158"/>
      <c r="AN278" s="158"/>
      <c r="AO278" s="158"/>
      <c r="AP278" s="158"/>
      <c r="AQ278" s="114" t="n">
        <v>6</v>
      </c>
      <c r="AR278" s="114"/>
      <c r="AS278" s="114"/>
      <c r="AT278" s="114"/>
      <c r="AU278" s="158" t="n">
        <f aca="false">+AQ278*$AI$256</f>
        <v>27951000</v>
      </c>
      <c r="AV278" s="158"/>
      <c r="AW278" s="158"/>
      <c r="AX278" s="158"/>
      <c r="AY278" s="158"/>
      <c r="AZ278" s="158"/>
      <c r="BA278" s="158"/>
      <c r="BB278" s="158"/>
      <c r="BC278" s="114" t="n">
        <v>8</v>
      </c>
      <c r="BD278" s="114"/>
      <c r="BE278" s="114"/>
      <c r="BF278" s="114"/>
      <c r="BG278" s="158" t="n">
        <f aca="false">+BC278*$AO$256</f>
        <v>40994800</v>
      </c>
      <c r="BH278" s="158"/>
      <c r="BI278" s="158"/>
      <c r="BJ278" s="158"/>
      <c r="BK278" s="158"/>
      <c r="BL278" s="158"/>
      <c r="BM278" s="158"/>
      <c r="BN278" s="158"/>
    </row>
    <row r="279" customFormat="false" ht="39.95" hidden="false" customHeight="true" outlineLevel="0" collapsed="false">
      <c r="A279" s="156" t="s">
        <v>1858</v>
      </c>
      <c r="B279" s="156"/>
      <c r="C279" s="156"/>
      <c r="D279" s="156"/>
      <c r="E279" s="156"/>
      <c r="F279" s="156"/>
      <c r="G279" s="114" t="n">
        <v>2</v>
      </c>
      <c r="H279" s="114"/>
      <c r="I279" s="114"/>
      <c r="J279" s="114"/>
      <c r="K279" s="158" t="n">
        <f aca="false">+G279*$Q$256</f>
        <v>7000000</v>
      </c>
      <c r="L279" s="158"/>
      <c r="M279" s="158"/>
      <c r="N279" s="158"/>
      <c r="O279" s="158"/>
      <c r="P279" s="158"/>
      <c r="Q279" s="158"/>
      <c r="R279" s="158"/>
      <c r="S279" s="114" t="n">
        <v>4</v>
      </c>
      <c r="T279" s="114"/>
      <c r="U279" s="114"/>
      <c r="V279" s="114"/>
      <c r="W279" s="158" t="n">
        <f aca="false">+S279*$W$256</f>
        <v>15400000</v>
      </c>
      <c r="X279" s="158"/>
      <c r="Y279" s="158"/>
      <c r="Z279" s="158"/>
      <c r="AA279" s="158"/>
      <c r="AB279" s="158"/>
      <c r="AC279" s="158"/>
      <c r="AD279" s="158"/>
      <c r="AE279" s="114" t="n">
        <v>5</v>
      </c>
      <c r="AF279" s="114"/>
      <c r="AG279" s="114"/>
      <c r="AH279" s="114"/>
      <c r="AI279" s="158" t="n">
        <f aca="false">+AE279*$AC$256</f>
        <v>21175000</v>
      </c>
      <c r="AJ279" s="158"/>
      <c r="AK279" s="158"/>
      <c r="AL279" s="158"/>
      <c r="AM279" s="158"/>
      <c r="AN279" s="158"/>
      <c r="AO279" s="158"/>
      <c r="AP279" s="158"/>
      <c r="AQ279" s="114" t="n">
        <v>6</v>
      </c>
      <c r="AR279" s="114"/>
      <c r="AS279" s="114"/>
      <c r="AT279" s="114"/>
      <c r="AU279" s="158" t="n">
        <f aca="false">+AQ279*$AI$256</f>
        <v>27951000</v>
      </c>
      <c r="AV279" s="158"/>
      <c r="AW279" s="158"/>
      <c r="AX279" s="158"/>
      <c r="AY279" s="158"/>
      <c r="AZ279" s="158"/>
      <c r="BA279" s="158"/>
      <c r="BB279" s="158"/>
      <c r="BC279" s="114" t="n">
        <v>8</v>
      </c>
      <c r="BD279" s="114"/>
      <c r="BE279" s="114"/>
      <c r="BF279" s="114"/>
      <c r="BG279" s="158" t="n">
        <f aca="false">+BC279*$AO$256</f>
        <v>40994800</v>
      </c>
      <c r="BH279" s="158"/>
      <c r="BI279" s="158"/>
      <c r="BJ279" s="158"/>
      <c r="BK279" s="158"/>
      <c r="BL279" s="158"/>
      <c r="BM279" s="158"/>
      <c r="BN279" s="158"/>
    </row>
    <row r="280" customFormat="false" ht="39.95" hidden="false" customHeight="true" outlineLevel="0" collapsed="false">
      <c r="A280" s="160" t="s">
        <v>1809</v>
      </c>
      <c r="B280" s="160"/>
      <c r="C280" s="160"/>
      <c r="D280" s="160"/>
      <c r="E280" s="160"/>
      <c r="F280" s="160"/>
      <c r="G280" s="161" t="n">
        <f aca="false">SUM(G268:J279)</f>
        <v>18</v>
      </c>
      <c r="H280" s="161"/>
      <c r="I280" s="161"/>
      <c r="J280" s="161"/>
      <c r="K280" s="162" t="n">
        <f aca="false">SUM(K268:R279)</f>
        <v>63000000</v>
      </c>
      <c r="L280" s="162"/>
      <c r="M280" s="162"/>
      <c r="N280" s="162"/>
      <c r="O280" s="162"/>
      <c r="P280" s="162"/>
      <c r="Q280" s="162"/>
      <c r="R280" s="162"/>
      <c r="S280" s="161" t="n">
        <f aca="false">SUM(S268:V279)</f>
        <v>42</v>
      </c>
      <c r="T280" s="161"/>
      <c r="U280" s="161"/>
      <c r="V280" s="161"/>
      <c r="W280" s="162" t="n">
        <f aca="false">SUM(W268:AD279)</f>
        <v>161700000</v>
      </c>
      <c r="X280" s="162"/>
      <c r="Y280" s="162"/>
      <c r="Z280" s="162"/>
      <c r="AA280" s="162"/>
      <c r="AB280" s="162"/>
      <c r="AC280" s="162"/>
      <c r="AD280" s="162"/>
      <c r="AE280" s="161" t="n">
        <f aca="false">SUM(AE268:AH279)</f>
        <v>60</v>
      </c>
      <c r="AF280" s="161"/>
      <c r="AG280" s="161"/>
      <c r="AH280" s="161"/>
      <c r="AI280" s="162" t="n">
        <f aca="false">SUM(AI268:AP279)</f>
        <v>254100000</v>
      </c>
      <c r="AJ280" s="162"/>
      <c r="AK280" s="162"/>
      <c r="AL280" s="162"/>
      <c r="AM280" s="162"/>
      <c r="AN280" s="162"/>
      <c r="AO280" s="162"/>
      <c r="AP280" s="162"/>
      <c r="AQ280" s="161" t="n">
        <f aca="false">SUM(AQ268:AT279)</f>
        <v>72</v>
      </c>
      <c r="AR280" s="161"/>
      <c r="AS280" s="161"/>
      <c r="AT280" s="161"/>
      <c r="AU280" s="162" t="n">
        <f aca="false">SUM(AU268:BB279)</f>
        <v>335412000</v>
      </c>
      <c r="AV280" s="162"/>
      <c r="AW280" s="162"/>
      <c r="AX280" s="162"/>
      <c r="AY280" s="162"/>
      <c r="AZ280" s="162"/>
      <c r="BA280" s="162"/>
      <c r="BB280" s="162"/>
      <c r="BC280" s="161" t="n">
        <f aca="false">SUM(BC268:BF279)</f>
        <v>88</v>
      </c>
      <c r="BD280" s="161"/>
      <c r="BE280" s="161"/>
      <c r="BF280" s="161"/>
      <c r="BG280" s="162" t="n">
        <f aca="false">SUM(BG268:BN279)</f>
        <v>450942800</v>
      </c>
      <c r="BH280" s="162"/>
      <c r="BI280" s="162"/>
      <c r="BJ280" s="162"/>
      <c r="BK280" s="162"/>
      <c r="BL280" s="162"/>
      <c r="BM280" s="162"/>
      <c r="BN280" s="162"/>
    </row>
    <row r="282" customFormat="false" ht="27" hidden="false" customHeight="true" outlineLevel="0" collapsed="false">
      <c r="A282" s="79" t="s">
        <v>1859</v>
      </c>
      <c r="B282" s="79"/>
      <c r="C282" s="79"/>
      <c r="D282" s="79"/>
      <c r="E282" s="79"/>
      <c r="F282" s="79"/>
      <c r="G282" s="79"/>
      <c r="H282" s="79"/>
      <c r="I282" s="79"/>
      <c r="J282" s="79"/>
      <c r="K282" s="79"/>
      <c r="L282" s="79"/>
      <c r="M282" s="163" t="n">
        <f aca="false">+A257</f>
        <v>0</v>
      </c>
      <c r="N282" s="163"/>
      <c r="O282" s="163"/>
      <c r="P282" s="163"/>
      <c r="Q282" s="163"/>
      <c r="R282" s="163"/>
      <c r="S282" s="163"/>
      <c r="T282" s="163"/>
      <c r="U282" s="163"/>
      <c r="V282" s="163"/>
      <c r="W282" s="163"/>
      <c r="X282" s="163"/>
      <c r="Y282" s="163"/>
      <c r="Z282" s="163"/>
      <c r="AA282" s="163"/>
      <c r="AB282" s="163"/>
      <c r="AC282" s="163"/>
      <c r="AD282" s="163"/>
      <c r="AE282" s="163"/>
      <c r="AF282" s="163"/>
      <c r="AG282" s="163"/>
      <c r="AH282" s="163"/>
      <c r="AI282" s="163"/>
      <c r="AJ282" s="163"/>
      <c r="AK282" s="163"/>
      <c r="AL282" s="163"/>
      <c r="AM282" s="163"/>
      <c r="AN282" s="163"/>
      <c r="AO282" s="163"/>
      <c r="AP282" s="163"/>
      <c r="AQ282" s="163"/>
      <c r="AR282" s="163"/>
      <c r="AS282" s="163"/>
      <c r="AT282" s="163"/>
      <c r="AU282" s="163"/>
      <c r="AV282" s="163"/>
      <c r="AW282" s="163"/>
      <c r="AX282" s="163"/>
      <c r="AY282" s="163"/>
      <c r="AZ282" s="163"/>
      <c r="BA282" s="163"/>
      <c r="BB282" s="163"/>
      <c r="BC282" s="163"/>
      <c r="BD282" s="163"/>
      <c r="BE282" s="163"/>
      <c r="BF282" s="163"/>
      <c r="BG282" s="163"/>
      <c r="BH282" s="163"/>
      <c r="BI282" s="163"/>
      <c r="BJ282" s="163"/>
      <c r="BK282" s="163"/>
      <c r="BL282" s="163"/>
      <c r="BM282" s="163"/>
      <c r="BN282" s="163"/>
    </row>
    <row r="284" customFormat="false" ht="27" hidden="false" customHeight="true" outlineLevel="0" collapsed="false">
      <c r="G284" s="79" t="s">
        <v>1840</v>
      </c>
      <c r="H284" s="79"/>
      <c r="I284" s="79"/>
      <c r="J284" s="79"/>
      <c r="K284" s="79"/>
      <c r="L284" s="79"/>
      <c r="M284" s="79"/>
      <c r="N284" s="79"/>
      <c r="O284" s="79"/>
      <c r="P284" s="79"/>
      <c r="Q284" s="79"/>
      <c r="R284" s="79"/>
      <c r="S284" s="79" t="s">
        <v>1841</v>
      </c>
      <c r="T284" s="79"/>
      <c r="U284" s="79"/>
      <c r="V284" s="79"/>
      <c r="W284" s="79"/>
      <c r="X284" s="79"/>
      <c r="Y284" s="79"/>
      <c r="Z284" s="79"/>
      <c r="AA284" s="79"/>
      <c r="AB284" s="79"/>
      <c r="AC284" s="79"/>
      <c r="AD284" s="79"/>
      <c r="AE284" s="79" t="s">
        <v>1842</v>
      </c>
      <c r="AF284" s="79"/>
      <c r="AG284" s="79"/>
      <c r="AH284" s="79"/>
      <c r="AI284" s="79"/>
      <c r="AJ284" s="79"/>
      <c r="AK284" s="79"/>
      <c r="AL284" s="79"/>
      <c r="AM284" s="79"/>
      <c r="AN284" s="79"/>
      <c r="AO284" s="79"/>
      <c r="AP284" s="79"/>
      <c r="AQ284" s="79" t="s">
        <v>1843</v>
      </c>
      <c r="AR284" s="79"/>
      <c r="AS284" s="79"/>
      <c r="AT284" s="79"/>
      <c r="AU284" s="79"/>
      <c r="AV284" s="79"/>
      <c r="AW284" s="79"/>
      <c r="AX284" s="79"/>
      <c r="AY284" s="79"/>
      <c r="AZ284" s="79"/>
      <c r="BA284" s="79"/>
      <c r="BB284" s="79"/>
      <c r="BC284" s="79" t="s">
        <v>1844</v>
      </c>
      <c r="BD284" s="79"/>
      <c r="BE284" s="79"/>
      <c r="BF284" s="79"/>
      <c r="BG284" s="79"/>
      <c r="BH284" s="79"/>
      <c r="BI284" s="79"/>
      <c r="BJ284" s="79"/>
      <c r="BK284" s="79"/>
      <c r="BL284" s="79"/>
      <c r="BM284" s="79"/>
      <c r="BN284" s="79"/>
    </row>
    <row r="285" customFormat="false" ht="29.25" hidden="false" customHeight="true" outlineLevel="0" collapsed="false">
      <c r="G285" s="79" t="s">
        <v>1845</v>
      </c>
      <c r="H285" s="79"/>
      <c r="I285" s="79"/>
      <c r="J285" s="79"/>
      <c r="K285" s="79" t="s">
        <v>1846</v>
      </c>
      <c r="L285" s="79"/>
      <c r="M285" s="79"/>
      <c r="N285" s="79"/>
      <c r="O285" s="79"/>
      <c r="P285" s="79"/>
      <c r="Q285" s="79"/>
      <c r="R285" s="79"/>
      <c r="S285" s="79" t="s">
        <v>1845</v>
      </c>
      <c r="T285" s="79"/>
      <c r="U285" s="79"/>
      <c r="V285" s="79"/>
      <c r="W285" s="79" t="s">
        <v>1846</v>
      </c>
      <c r="X285" s="79"/>
      <c r="Y285" s="79"/>
      <c r="Z285" s="79"/>
      <c r="AA285" s="79"/>
      <c r="AB285" s="79"/>
      <c r="AC285" s="79"/>
      <c r="AD285" s="79"/>
      <c r="AE285" s="79" t="s">
        <v>1845</v>
      </c>
      <c r="AF285" s="79"/>
      <c r="AG285" s="79"/>
      <c r="AH285" s="79"/>
      <c r="AI285" s="79" t="s">
        <v>1846</v>
      </c>
      <c r="AJ285" s="79"/>
      <c r="AK285" s="79"/>
      <c r="AL285" s="79"/>
      <c r="AM285" s="79"/>
      <c r="AN285" s="79"/>
      <c r="AO285" s="79"/>
      <c r="AP285" s="79"/>
      <c r="AQ285" s="79" t="s">
        <v>1845</v>
      </c>
      <c r="AR285" s="79"/>
      <c r="AS285" s="79"/>
      <c r="AT285" s="79"/>
      <c r="AU285" s="79" t="s">
        <v>1846</v>
      </c>
      <c r="AV285" s="79"/>
      <c r="AW285" s="79"/>
      <c r="AX285" s="79"/>
      <c r="AY285" s="79"/>
      <c r="AZ285" s="79"/>
      <c r="BA285" s="79"/>
      <c r="BB285" s="79"/>
      <c r="BC285" s="79" t="s">
        <v>1845</v>
      </c>
      <c r="BD285" s="79"/>
      <c r="BE285" s="79"/>
      <c r="BF285" s="79"/>
      <c r="BG285" s="79" t="s">
        <v>1846</v>
      </c>
      <c r="BH285" s="79"/>
      <c r="BI285" s="79"/>
      <c r="BJ285" s="79"/>
      <c r="BK285" s="79"/>
      <c r="BL285" s="79"/>
      <c r="BM285" s="79"/>
      <c r="BN285" s="79"/>
    </row>
    <row r="286" customFormat="false" ht="39.95" hidden="false" customHeight="true" outlineLevel="0" collapsed="false">
      <c r="A286" s="156" t="s">
        <v>1847</v>
      </c>
      <c r="B286" s="156"/>
      <c r="C286" s="156"/>
      <c r="D286" s="156"/>
      <c r="E286" s="156"/>
      <c r="F286" s="156"/>
      <c r="G286" s="114"/>
      <c r="H286" s="114"/>
      <c r="I286" s="114"/>
      <c r="J286" s="114"/>
      <c r="K286" s="158" t="n">
        <f aca="false">+G286*$Q$257</f>
        <v>0</v>
      </c>
      <c r="L286" s="158"/>
      <c r="M286" s="158"/>
      <c r="N286" s="158"/>
      <c r="O286" s="158"/>
      <c r="P286" s="158"/>
      <c r="Q286" s="158"/>
      <c r="R286" s="158"/>
      <c r="S286" s="114"/>
      <c r="T286" s="114"/>
      <c r="U286" s="114"/>
      <c r="V286" s="114"/>
      <c r="W286" s="158" t="n">
        <f aca="false">+S286*$W$257</f>
        <v>0</v>
      </c>
      <c r="X286" s="158"/>
      <c r="Y286" s="158"/>
      <c r="Z286" s="158"/>
      <c r="AA286" s="158"/>
      <c r="AB286" s="158"/>
      <c r="AC286" s="158"/>
      <c r="AD286" s="158"/>
      <c r="AE286" s="114"/>
      <c r="AF286" s="114"/>
      <c r="AG286" s="114"/>
      <c r="AH286" s="114"/>
      <c r="AI286" s="158" t="n">
        <f aca="false">+AE286*$AC$257</f>
        <v>0</v>
      </c>
      <c r="AJ286" s="158"/>
      <c r="AK286" s="158"/>
      <c r="AL286" s="158"/>
      <c r="AM286" s="158"/>
      <c r="AN286" s="158"/>
      <c r="AO286" s="158"/>
      <c r="AP286" s="158"/>
      <c r="AQ286" s="114"/>
      <c r="AR286" s="114"/>
      <c r="AS286" s="114"/>
      <c r="AT286" s="114"/>
      <c r="AU286" s="158" t="n">
        <f aca="false">+AQ286*$AI$257</f>
        <v>0</v>
      </c>
      <c r="AV286" s="158"/>
      <c r="AW286" s="158"/>
      <c r="AX286" s="158"/>
      <c r="AY286" s="158"/>
      <c r="AZ286" s="158"/>
      <c r="BA286" s="158"/>
      <c r="BB286" s="158"/>
      <c r="BC286" s="114"/>
      <c r="BD286" s="114"/>
      <c r="BE286" s="114"/>
      <c r="BF286" s="114"/>
      <c r="BG286" s="158" t="n">
        <f aca="false">+BC286*$AO$257</f>
        <v>0</v>
      </c>
      <c r="BH286" s="158"/>
      <c r="BI286" s="158"/>
      <c r="BJ286" s="158"/>
      <c r="BK286" s="158"/>
      <c r="BL286" s="158"/>
      <c r="BM286" s="158"/>
      <c r="BN286" s="158"/>
    </row>
    <row r="287" customFormat="false" ht="39.95" hidden="false" customHeight="true" outlineLevel="0" collapsed="false">
      <c r="A287" s="156" t="s">
        <v>1848</v>
      </c>
      <c r="B287" s="156"/>
      <c r="C287" s="156"/>
      <c r="D287" s="156"/>
      <c r="E287" s="156"/>
      <c r="F287" s="156"/>
      <c r="G287" s="114"/>
      <c r="H287" s="114"/>
      <c r="I287" s="114"/>
      <c r="J287" s="114"/>
      <c r="K287" s="158" t="n">
        <f aca="false">+G287*$Q$257</f>
        <v>0</v>
      </c>
      <c r="L287" s="158"/>
      <c r="M287" s="158"/>
      <c r="N287" s="158"/>
      <c r="O287" s="158"/>
      <c r="P287" s="158"/>
      <c r="Q287" s="158"/>
      <c r="R287" s="158"/>
      <c r="S287" s="114"/>
      <c r="T287" s="114"/>
      <c r="U287" s="114"/>
      <c r="V287" s="114"/>
      <c r="W287" s="158" t="n">
        <f aca="false">+S287*$W$257</f>
        <v>0</v>
      </c>
      <c r="X287" s="158"/>
      <c r="Y287" s="158"/>
      <c r="Z287" s="158"/>
      <c r="AA287" s="158"/>
      <c r="AB287" s="158"/>
      <c r="AC287" s="158"/>
      <c r="AD287" s="158"/>
      <c r="AE287" s="114"/>
      <c r="AF287" s="114"/>
      <c r="AG287" s="114"/>
      <c r="AH287" s="114"/>
      <c r="AI287" s="158" t="n">
        <f aca="false">+AE287*$AC$257</f>
        <v>0</v>
      </c>
      <c r="AJ287" s="158"/>
      <c r="AK287" s="158"/>
      <c r="AL287" s="158"/>
      <c r="AM287" s="158"/>
      <c r="AN287" s="158"/>
      <c r="AO287" s="158"/>
      <c r="AP287" s="158"/>
      <c r="AQ287" s="114"/>
      <c r="AR287" s="114"/>
      <c r="AS287" s="114"/>
      <c r="AT287" s="114"/>
      <c r="AU287" s="158" t="n">
        <f aca="false">+AQ287*$AI$257</f>
        <v>0</v>
      </c>
      <c r="AV287" s="158"/>
      <c r="AW287" s="158"/>
      <c r="AX287" s="158"/>
      <c r="AY287" s="158"/>
      <c r="AZ287" s="158"/>
      <c r="BA287" s="158"/>
      <c r="BB287" s="158"/>
      <c r="BC287" s="114"/>
      <c r="BD287" s="114"/>
      <c r="BE287" s="114"/>
      <c r="BF287" s="114"/>
      <c r="BG287" s="158" t="n">
        <f aca="false">+BC287*$AO$257</f>
        <v>0</v>
      </c>
      <c r="BH287" s="158"/>
      <c r="BI287" s="158"/>
      <c r="BJ287" s="158"/>
      <c r="BK287" s="158"/>
      <c r="BL287" s="158"/>
      <c r="BM287" s="158"/>
      <c r="BN287" s="158"/>
    </row>
    <row r="288" customFormat="false" ht="39.95" hidden="false" customHeight="true" outlineLevel="0" collapsed="false">
      <c r="A288" s="156" t="s">
        <v>1849</v>
      </c>
      <c r="B288" s="156"/>
      <c r="C288" s="156"/>
      <c r="D288" s="156"/>
      <c r="E288" s="156"/>
      <c r="F288" s="156"/>
      <c r="G288" s="114"/>
      <c r="H288" s="114"/>
      <c r="I288" s="114"/>
      <c r="J288" s="114"/>
      <c r="K288" s="158" t="n">
        <f aca="false">+G288*$Q$257</f>
        <v>0</v>
      </c>
      <c r="L288" s="158"/>
      <c r="M288" s="158"/>
      <c r="N288" s="158"/>
      <c r="O288" s="158"/>
      <c r="P288" s="158"/>
      <c r="Q288" s="158"/>
      <c r="R288" s="158"/>
      <c r="S288" s="114"/>
      <c r="T288" s="114"/>
      <c r="U288" s="114"/>
      <c r="V288" s="114"/>
      <c r="W288" s="158" t="n">
        <f aca="false">+S288*$W$257</f>
        <v>0</v>
      </c>
      <c r="X288" s="158"/>
      <c r="Y288" s="158"/>
      <c r="Z288" s="158"/>
      <c r="AA288" s="158"/>
      <c r="AB288" s="158"/>
      <c r="AC288" s="158"/>
      <c r="AD288" s="158"/>
      <c r="AE288" s="114"/>
      <c r="AF288" s="114"/>
      <c r="AG288" s="114"/>
      <c r="AH288" s="114"/>
      <c r="AI288" s="158" t="n">
        <f aca="false">+AE288*$AC$257</f>
        <v>0</v>
      </c>
      <c r="AJ288" s="158"/>
      <c r="AK288" s="158"/>
      <c r="AL288" s="158"/>
      <c r="AM288" s="158"/>
      <c r="AN288" s="158"/>
      <c r="AO288" s="158"/>
      <c r="AP288" s="158"/>
      <c r="AQ288" s="114"/>
      <c r="AR288" s="114"/>
      <c r="AS288" s="114"/>
      <c r="AT288" s="114"/>
      <c r="AU288" s="158" t="n">
        <f aca="false">+AQ288*$AI$257</f>
        <v>0</v>
      </c>
      <c r="AV288" s="158"/>
      <c r="AW288" s="158"/>
      <c r="AX288" s="158"/>
      <c r="AY288" s="158"/>
      <c r="AZ288" s="158"/>
      <c r="BA288" s="158"/>
      <c r="BB288" s="158"/>
      <c r="BC288" s="114"/>
      <c r="BD288" s="114"/>
      <c r="BE288" s="114"/>
      <c r="BF288" s="114"/>
      <c r="BG288" s="158" t="n">
        <f aca="false">+BC288*$AO$257</f>
        <v>0</v>
      </c>
      <c r="BH288" s="158"/>
      <c r="BI288" s="158"/>
      <c r="BJ288" s="158"/>
      <c r="BK288" s="158"/>
      <c r="BL288" s="158"/>
      <c r="BM288" s="158"/>
      <c r="BN288" s="158"/>
    </row>
    <row r="289" customFormat="false" ht="39.95" hidden="false" customHeight="true" outlineLevel="0" collapsed="false">
      <c r="A289" s="156" t="s">
        <v>1850</v>
      </c>
      <c r="B289" s="156"/>
      <c r="C289" s="156"/>
      <c r="D289" s="156"/>
      <c r="E289" s="156"/>
      <c r="F289" s="156"/>
      <c r="G289" s="114"/>
      <c r="H289" s="114"/>
      <c r="I289" s="114"/>
      <c r="J289" s="114"/>
      <c r="K289" s="158" t="n">
        <f aca="false">+G289*$Q$257</f>
        <v>0</v>
      </c>
      <c r="L289" s="158"/>
      <c r="M289" s="158"/>
      <c r="N289" s="158"/>
      <c r="O289" s="158"/>
      <c r="P289" s="158"/>
      <c r="Q289" s="158"/>
      <c r="R289" s="158"/>
      <c r="S289" s="114"/>
      <c r="T289" s="114"/>
      <c r="U289" s="114"/>
      <c r="V289" s="114"/>
      <c r="W289" s="158" t="n">
        <f aca="false">+S289*$W$257</f>
        <v>0</v>
      </c>
      <c r="X289" s="158"/>
      <c r="Y289" s="158"/>
      <c r="Z289" s="158"/>
      <c r="AA289" s="158"/>
      <c r="AB289" s="158"/>
      <c r="AC289" s="158"/>
      <c r="AD289" s="158"/>
      <c r="AE289" s="114"/>
      <c r="AF289" s="114"/>
      <c r="AG289" s="114"/>
      <c r="AH289" s="114"/>
      <c r="AI289" s="158" t="n">
        <f aca="false">+AE289*$AC$257</f>
        <v>0</v>
      </c>
      <c r="AJ289" s="158"/>
      <c r="AK289" s="158"/>
      <c r="AL289" s="158"/>
      <c r="AM289" s="158"/>
      <c r="AN289" s="158"/>
      <c r="AO289" s="158"/>
      <c r="AP289" s="158"/>
      <c r="AQ289" s="114"/>
      <c r="AR289" s="114"/>
      <c r="AS289" s="114"/>
      <c r="AT289" s="114"/>
      <c r="AU289" s="158" t="n">
        <f aca="false">+AQ289*$AI$257</f>
        <v>0</v>
      </c>
      <c r="AV289" s="158"/>
      <c r="AW289" s="158"/>
      <c r="AX289" s="158"/>
      <c r="AY289" s="158"/>
      <c r="AZ289" s="158"/>
      <c r="BA289" s="158"/>
      <c r="BB289" s="158"/>
      <c r="BC289" s="114"/>
      <c r="BD289" s="114"/>
      <c r="BE289" s="114"/>
      <c r="BF289" s="114"/>
      <c r="BG289" s="158" t="n">
        <f aca="false">+BC289*$AO$257</f>
        <v>0</v>
      </c>
      <c r="BH289" s="158"/>
      <c r="BI289" s="158"/>
      <c r="BJ289" s="158"/>
      <c r="BK289" s="158"/>
      <c r="BL289" s="158"/>
      <c r="BM289" s="158"/>
      <c r="BN289" s="158"/>
    </row>
    <row r="290" customFormat="false" ht="39.95" hidden="false" customHeight="true" outlineLevel="0" collapsed="false">
      <c r="A290" s="156" t="s">
        <v>1851</v>
      </c>
      <c r="B290" s="156"/>
      <c r="C290" s="156"/>
      <c r="D290" s="156"/>
      <c r="E290" s="156"/>
      <c r="F290" s="156"/>
      <c r="G290" s="114"/>
      <c r="H290" s="114"/>
      <c r="I290" s="114"/>
      <c r="J290" s="114"/>
      <c r="K290" s="158" t="n">
        <f aca="false">+G290*$Q$257</f>
        <v>0</v>
      </c>
      <c r="L290" s="158"/>
      <c r="M290" s="158"/>
      <c r="N290" s="158"/>
      <c r="O290" s="158"/>
      <c r="P290" s="158"/>
      <c r="Q290" s="158"/>
      <c r="R290" s="158"/>
      <c r="S290" s="114"/>
      <c r="T290" s="114"/>
      <c r="U290" s="114"/>
      <c r="V290" s="114"/>
      <c r="W290" s="158" t="n">
        <f aca="false">+S290*$W$257</f>
        <v>0</v>
      </c>
      <c r="X290" s="158"/>
      <c r="Y290" s="158"/>
      <c r="Z290" s="158"/>
      <c r="AA290" s="158"/>
      <c r="AB290" s="158"/>
      <c r="AC290" s="158"/>
      <c r="AD290" s="158"/>
      <c r="AE290" s="114"/>
      <c r="AF290" s="114"/>
      <c r="AG290" s="114"/>
      <c r="AH290" s="114"/>
      <c r="AI290" s="158" t="n">
        <f aca="false">+AE290*$AC$257</f>
        <v>0</v>
      </c>
      <c r="AJ290" s="158"/>
      <c r="AK290" s="158"/>
      <c r="AL290" s="158"/>
      <c r="AM290" s="158"/>
      <c r="AN290" s="158"/>
      <c r="AO290" s="158"/>
      <c r="AP290" s="158"/>
      <c r="AQ290" s="114"/>
      <c r="AR290" s="114"/>
      <c r="AS290" s="114"/>
      <c r="AT290" s="114"/>
      <c r="AU290" s="158" t="n">
        <f aca="false">+AQ290*$AI$257</f>
        <v>0</v>
      </c>
      <c r="AV290" s="158"/>
      <c r="AW290" s="158"/>
      <c r="AX290" s="158"/>
      <c r="AY290" s="158"/>
      <c r="AZ290" s="158"/>
      <c r="BA290" s="158"/>
      <c r="BB290" s="158"/>
      <c r="BC290" s="114"/>
      <c r="BD290" s="114"/>
      <c r="BE290" s="114"/>
      <c r="BF290" s="114"/>
      <c r="BG290" s="158" t="n">
        <f aca="false">+BC290*$AO$257</f>
        <v>0</v>
      </c>
      <c r="BH290" s="158"/>
      <c r="BI290" s="158"/>
      <c r="BJ290" s="158"/>
      <c r="BK290" s="158"/>
      <c r="BL290" s="158"/>
      <c r="BM290" s="158"/>
      <c r="BN290" s="158"/>
    </row>
    <row r="291" customFormat="false" ht="39.95" hidden="false" customHeight="true" outlineLevel="0" collapsed="false">
      <c r="A291" s="156" t="s">
        <v>1852</v>
      </c>
      <c r="B291" s="156"/>
      <c r="C291" s="156"/>
      <c r="D291" s="156"/>
      <c r="E291" s="156"/>
      <c r="F291" s="156"/>
      <c r="G291" s="114"/>
      <c r="H291" s="114"/>
      <c r="I291" s="114"/>
      <c r="J291" s="114"/>
      <c r="K291" s="158" t="n">
        <f aca="false">+G291*$Q$257</f>
        <v>0</v>
      </c>
      <c r="L291" s="158"/>
      <c r="M291" s="158"/>
      <c r="N291" s="158"/>
      <c r="O291" s="158"/>
      <c r="P291" s="158"/>
      <c r="Q291" s="158"/>
      <c r="R291" s="158"/>
      <c r="S291" s="114"/>
      <c r="T291" s="114"/>
      <c r="U291" s="114"/>
      <c r="V291" s="114"/>
      <c r="W291" s="158" t="n">
        <f aca="false">+S291*$W$257</f>
        <v>0</v>
      </c>
      <c r="X291" s="158"/>
      <c r="Y291" s="158"/>
      <c r="Z291" s="158"/>
      <c r="AA291" s="158"/>
      <c r="AB291" s="158"/>
      <c r="AC291" s="158"/>
      <c r="AD291" s="158"/>
      <c r="AE291" s="114"/>
      <c r="AF291" s="114"/>
      <c r="AG291" s="114"/>
      <c r="AH291" s="114"/>
      <c r="AI291" s="158" t="n">
        <f aca="false">+AE291*$AC$257</f>
        <v>0</v>
      </c>
      <c r="AJ291" s="158"/>
      <c r="AK291" s="158"/>
      <c r="AL291" s="158"/>
      <c r="AM291" s="158"/>
      <c r="AN291" s="158"/>
      <c r="AO291" s="158"/>
      <c r="AP291" s="158"/>
      <c r="AQ291" s="114"/>
      <c r="AR291" s="114"/>
      <c r="AS291" s="114"/>
      <c r="AT291" s="114"/>
      <c r="AU291" s="158" t="n">
        <f aca="false">+AQ291*$AI$257</f>
        <v>0</v>
      </c>
      <c r="AV291" s="158"/>
      <c r="AW291" s="158"/>
      <c r="AX291" s="158"/>
      <c r="AY291" s="158"/>
      <c r="AZ291" s="158"/>
      <c r="BA291" s="158"/>
      <c r="BB291" s="158"/>
      <c r="BC291" s="114"/>
      <c r="BD291" s="114"/>
      <c r="BE291" s="114"/>
      <c r="BF291" s="114"/>
      <c r="BG291" s="158" t="n">
        <f aca="false">+BC291*$AO$257</f>
        <v>0</v>
      </c>
      <c r="BH291" s="158"/>
      <c r="BI291" s="158"/>
      <c r="BJ291" s="158"/>
      <c r="BK291" s="158"/>
      <c r="BL291" s="158"/>
      <c r="BM291" s="158"/>
      <c r="BN291" s="158"/>
    </row>
    <row r="292" customFormat="false" ht="39.95" hidden="false" customHeight="true" outlineLevel="0" collapsed="false">
      <c r="A292" s="156" t="s">
        <v>1853</v>
      </c>
      <c r="B292" s="156"/>
      <c r="C292" s="156"/>
      <c r="D292" s="156"/>
      <c r="E292" s="156"/>
      <c r="F292" s="156"/>
      <c r="G292" s="114"/>
      <c r="H292" s="114"/>
      <c r="I292" s="114"/>
      <c r="J292" s="114"/>
      <c r="K292" s="158" t="n">
        <f aca="false">+G292*$Q$257</f>
        <v>0</v>
      </c>
      <c r="L292" s="158"/>
      <c r="M292" s="158"/>
      <c r="N292" s="158"/>
      <c r="O292" s="158"/>
      <c r="P292" s="158"/>
      <c r="Q292" s="158"/>
      <c r="R292" s="158"/>
      <c r="S292" s="114"/>
      <c r="T292" s="114"/>
      <c r="U292" s="114"/>
      <c r="V292" s="114"/>
      <c r="W292" s="158" t="n">
        <f aca="false">+S292*$W$257</f>
        <v>0</v>
      </c>
      <c r="X292" s="158"/>
      <c r="Y292" s="158"/>
      <c r="Z292" s="158"/>
      <c r="AA292" s="158"/>
      <c r="AB292" s="158"/>
      <c r="AC292" s="158"/>
      <c r="AD292" s="158"/>
      <c r="AE292" s="114"/>
      <c r="AF292" s="114"/>
      <c r="AG292" s="114"/>
      <c r="AH292" s="114"/>
      <c r="AI292" s="158" t="n">
        <f aca="false">+AE292*$AC$257</f>
        <v>0</v>
      </c>
      <c r="AJ292" s="158"/>
      <c r="AK292" s="158"/>
      <c r="AL292" s="158"/>
      <c r="AM292" s="158"/>
      <c r="AN292" s="158"/>
      <c r="AO292" s="158"/>
      <c r="AP292" s="158"/>
      <c r="AQ292" s="114"/>
      <c r="AR292" s="114"/>
      <c r="AS292" s="114"/>
      <c r="AT292" s="114"/>
      <c r="AU292" s="158" t="n">
        <f aca="false">+AQ292*$AI$257</f>
        <v>0</v>
      </c>
      <c r="AV292" s="158"/>
      <c r="AW292" s="158"/>
      <c r="AX292" s="158"/>
      <c r="AY292" s="158"/>
      <c r="AZ292" s="158"/>
      <c r="BA292" s="158"/>
      <c r="BB292" s="158"/>
      <c r="BC292" s="114"/>
      <c r="BD292" s="114"/>
      <c r="BE292" s="114"/>
      <c r="BF292" s="114"/>
      <c r="BG292" s="158" t="n">
        <f aca="false">+BC292*$AO$257</f>
        <v>0</v>
      </c>
      <c r="BH292" s="158"/>
      <c r="BI292" s="158"/>
      <c r="BJ292" s="158"/>
      <c r="BK292" s="158"/>
      <c r="BL292" s="158"/>
      <c r="BM292" s="158"/>
      <c r="BN292" s="158"/>
    </row>
    <row r="293" customFormat="false" ht="39.95" hidden="false" customHeight="true" outlineLevel="0" collapsed="false">
      <c r="A293" s="156" t="s">
        <v>1854</v>
      </c>
      <c r="B293" s="156"/>
      <c r="C293" s="156"/>
      <c r="D293" s="156"/>
      <c r="E293" s="156"/>
      <c r="F293" s="156"/>
      <c r="G293" s="114"/>
      <c r="H293" s="114"/>
      <c r="I293" s="114"/>
      <c r="J293" s="114"/>
      <c r="K293" s="158" t="n">
        <f aca="false">+G293*$Q$257</f>
        <v>0</v>
      </c>
      <c r="L293" s="158"/>
      <c r="M293" s="158"/>
      <c r="N293" s="158"/>
      <c r="O293" s="158"/>
      <c r="P293" s="158"/>
      <c r="Q293" s="158"/>
      <c r="R293" s="158"/>
      <c r="S293" s="114"/>
      <c r="T293" s="114"/>
      <c r="U293" s="114"/>
      <c r="V293" s="114"/>
      <c r="W293" s="158" t="n">
        <f aca="false">+S293*$W$257</f>
        <v>0</v>
      </c>
      <c r="X293" s="158"/>
      <c r="Y293" s="158"/>
      <c r="Z293" s="158"/>
      <c r="AA293" s="158"/>
      <c r="AB293" s="158"/>
      <c r="AC293" s="158"/>
      <c r="AD293" s="158"/>
      <c r="AE293" s="114"/>
      <c r="AF293" s="114"/>
      <c r="AG293" s="114"/>
      <c r="AH293" s="114"/>
      <c r="AI293" s="158" t="n">
        <f aca="false">+AE293*$AC$257</f>
        <v>0</v>
      </c>
      <c r="AJ293" s="158"/>
      <c r="AK293" s="158"/>
      <c r="AL293" s="158"/>
      <c r="AM293" s="158"/>
      <c r="AN293" s="158"/>
      <c r="AO293" s="158"/>
      <c r="AP293" s="158"/>
      <c r="AQ293" s="114"/>
      <c r="AR293" s="114"/>
      <c r="AS293" s="114"/>
      <c r="AT293" s="114"/>
      <c r="AU293" s="158" t="n">
        <f aca="false">+AQ293*$AI$257</f>
        <v>0</v>
      </c>
      <c r="AV293" s="158"/>
      <c r="AW293" s="158"/>
      <c r="AX293" s="158"/>
      <c r="AY293" s="158"/>
      <c r="AZ293" s="158"/>
      <c r="BA293" s="158"/>
      <c r="BB293" s="158"/>
      <c r="BC293" s="114"/>
      <c r="BD293" s="114"/>
      <c r="BE293" s="114"/>
      <c r="BF293" s="114"/>
      <c r="BG293" s="158" t="n">
        <f aca="false">+BC293*$AO$257</f>
        <v>0</v>
      </c>
      <c r="BH293" s="158"/>
      <c r="BI293" s="158"/>
      <c r="BJ293" s="158"/>
      <c r="BK293" s="158"/>
      <c r="BL293" s="158"/>
      <c r="BM293" s="158"/>
      <c r="BN293" s="158"/>
    </row>
    <row r="294" customFormat="false" ht="39.95" hidden="false" customHeight="true" outlineLevel="0" collapsed="false">
      <c r="A294" s="156" t="s">
        <v>1855</v>
      </c>
      <c r="B294" s="156"/>
      <c r="C294" s="156"/>
      <c r="D294" s="156"/>
      <c r="E294" s="156"/>
      <c r="F294" s="156"/>
      <c r="G294" s="114"/>
      <c r="H294" s="114"/>
      <c r="I294" s="114"/>
      <c r="J294" s="114"/>
      <c r="K294" s="158" t="n">
        <f aca="false">+G294*$Q$257</f>
        <v>0</v>
      </c>
      <c r="L294" s="158"/>
      <c r="M294" s="158"/>
      <c r="N294" s="158"/>
      <c r="O294" s="158"/>
      <c r="P294" s="158"/>
      <c r="Q294" s="158"/>
      <c r="R294" s="158"/>
      <c r="S294" s="114"/>
      <c r="T294" s="114"/>
      <c r="U294" s="114"/>
      <c r="V294" s="114"/>
      <c r="W294" s="158" t="n">
        <f aca="false">+S294*$W$257</f>
        <v>0</v>
      </c>
      <c r="X294" s="158"/>
      <c r="Y294" s="158"/>
      <c r="Z294" s="158"/>
      <c r="AA294" s="158"/>
      <c r="AB294" s="158"/>
      <c r="AC294" s="158"/>
      <c r="AD294" s="158"/>
      <c r="AE294" s="114"/>
      <c r="AF294" s="114"/>
      <c r="AG294" s="114"/>
      <c r="AH294" s="114"/>
      <c r="AI294" s="158" t="n">
        <f aca="false">+AE294*$AC$257</f>
        <v>0</v>
      </c>
      <c r="AJ294" s="158"/>
      <c r="AK294" s="158"/>
      <c r="AL294" s="158"/>
      <c r="AM294" s="158"/>
      <c r="AN294" s="158"/>
      <c r="AO294" s="158"/>
      <c r="AP294" s="158"/>
      <c r="AQ294" s="114"/>
      <c r="AR294" s="114"/>
      <c r="AS294" s="114"/>
      <c r="AT294" s="114"/>
      <c r="AU294" s="158" t="n">
        <f aca="false">+AQ294*$AI$257</f>
        <v>0</v>
      </c>
      <c r="AV294" s="158"/>
      <c r="AW294" s="158"/>
      <c r="AX294" s="158"/>
      <c r="AY294" s="158"/>
      <c r="AZ294" s="158"/>
      <c r="BA294" s="158"/>
      <c r="BB294" s="158"/>
      <c r="BC294" s="114"/>
      <c r="BD294" s="114"/>
      <c r="BE294" s="114"/>
      <c r="BF294" s="114"/>
      <c r="BG294" s="158" t="n">
        <f aca="false">+BC294*$AO$257</f>
        <v>0</v>
      </c>
      <c r="BH294" s="158"/>
      <c r="BI294" s="158"/>
      <c r="BJ294" s="158"/>
      <c r="BK294" s="158"/>
      <c r="BL294" s="158"/>
      <c r="BM294" s="158"/>
      <c r="BN294" s="158"/>
    </row>
    <row r="295" customFormat="false" ht="39.95" hidden="false" customHeight="true" outlineLevel="0" collapsed="false">
      <c r="A295" s="156" t="s">
        <v>1856</v>
      </c>
      <c r="B295" s="156"/>
      <c r="C295" s="156"/>
      <c r="D295" s="156"/>
      <c r="E295" s="156"/>
      <c r="F295" s="156"/>
      <c r="G295" s="114"/>
      <c r="H295" s="114"/>
      <c r="I295" s="114"/>
      <c r="J295" s="114"/>
      <c r="K295" s="158" t="n">
        <f aca="false">+G295*$Q$257</f>
        <v>0</v>
      </c>
      <c r="L295" s="158"/>
      <c r="M295" s="158"/>
      <c r="N295" s="158"/>
      <c r="O295" s="158"/>
      <c r="P295" s="158"/>
      <c r="Q295" s="158"/>
      <c r="R295" s="158"/>
      <c r="S295" s="114"/>
      <c r="T295" s="114"/>
      <c r="U295" s="114"/>
      <c r="V295" s="114"/>
      <c r="W295" s="158" t="n">
        <f aca="false">+S295*$W$257</f>
        <v>0</v>
      </c>
      <c r="X295" s="158"/>
      <c r="Y295" s="158"/>
      <c r="Z295" s="158"/>
      <c r="AA295" s="158"/>
      <c r="AB295" s="158"/>
      <c r="AC295" s="158"/>
      <c r="AD295" s="158"/>
      <c r="AE295" s="114"/>
      <c r="AF295" s="114"/>
      <c r="AG295" s="114"/>
      <c r="AH295" s="114"/>
      <c r="AI295" s="158" t="n">
        <f aca="false">+AE295*$AC$257</f>
        <v>0</v>
      </c>
      <c r="AJ295" s="158"/>
      <c r="AK295" s="158"/>
      <c r="AL295" s="158"/>
      <c r="AM295" s="158"/>
      <c r="AN295" s="158"/>
      <c r="AO295" s="158"/>
      <c r="AP295" s="158"/>
      <c r="AQ295" s="114"/>
      <c r="AR295" s="114"/>
      <c r="AS295" s="114"/>
      <c r="AT295" s="114"/>
      <c r="AU295" s="158" t="n">
        <f aca="false">+AQ295*$AI$257</f>
        <v>0</v>
      </c>
      <c r="AV295" s="158"/>
      <c r="AW295" s="158"/>
      <c r="AX295" s="158"/>
      <c r="AY295" s="158"/>
      <c r="AZ295" s="158"/>
      <c r="BA295" s="158"/>
      <c r="BB295" s="158"/>
      <c r="BC295" s="114"/>
      <c r="BD295" s="114"/>
      <c r="BE295" s="114"/>
      <c r="BF295" s="114"/>
      <c r="BG295" s="158" t="n">
        <f aca="false">+BC295*$AO$257</f>
        <v>0</v>
      </c>
      <c r="BH295" s="158"/>
      <c r="BI295" s="158"/>
      <c r="BJ295" s="158"/>
      <c r="BK295" s="158"/>
      <c r="BL295" s="158"/>
      <c r="BM295" s="158"/>
      <c r="BN295" s="158"/>
    </row>
    <row r="296" customFormat="false" ht="39.95" hidden="false" customHeight="true" outlineLevel="0" collapsed="false">
      <c r="A296" s="156" t="s">
        <v>1857</v>
      </c>
      <c r="B296" s="156"/>
      <c r="C296" s="156"/>
      <c r="D296" s="156"/>
      <c r="E296" s="156"/>
      <c r="F296" s="156"/>
      <c r="G296" s="114"/>
      <c r="H296" s="114"/>
      <c r="I296" s="114"/>
      <c r="J296" s="114"/>
      <c r="K296" s="158" t="n">
        <f aca="false">+G296*$Q$257</f>
        <v>0</v>
      </c>
      <c r="L296" s="158"/>
      <c r="M296" s="158"/>
      <c r="N296" s="158"/>
      <c r="O296" s="158"/>
      <c r="P296" s="158"/>
      <c r="Q296" s="158"/>
      <c r="R296" s="158"/>
      <c r="S296" s="114"/>
      <c r="T296" s="114"/>
      <c r="U296" s="114"/>
      <c r="V296" s="114"/>
      <c r="W296" s="158" t="n">
        <f aca="false">+S296*$W$257</f>
        <v>0</v>
      </c>
      <c r="X296" s="158"/>
      <c r="Y296" s="158"/>
      <c r="Z296" s="158"/>
      <c r="AA296" s="158"/>
      <c r="AB296" s="158"/>
      <c r="AC296" s="158"/>
      <c r="AD296" s="158"/>
      <c r="AE296" s="114"/>
      <c r="AF296" s="114"/>
      <c r="AG296" s="114"/>
      <c r="AH296" s="114"/>
      <c r="AI296" s="158" t="n">
        <f aca="false">+AE296*$AC$257</f>
        <v>0</v>
      </c>
      <c r="AJ296" s="158"/>
      <c r="AK296" s="158"/>
      <c r="AL296" s="158"/>
      <c r="AM296" s="158"/>
      <c r="AN296" s="158"/>
      <c r="AO296" s="158"/>
      <c r="AP296" s="158"/>
      <c r="AQ296" s="114"/>
      <c r="AR296" s="114"/>
      <c r="AS296" s="114"/>
      <c r="AT296" s="114"/>
      <c r="AU296" s="158" t="n">
        <f aca="false">+AQ296*$AI$257</f>
        <v>0</v>
      </c>
      <c r="AV296" s="158"/>
      <c r="AW296" s="158"/>
      <c r="AX296" s="158"/>
      <c r="AY296" s="158"/>
      <c r="AZ296" s="158"/>
      <c r="BA296" s="158"/>
      <c r="BB296" s="158"/>
      <c r="BC296" s="114"/>
      <c r="BD296" s="114"/>
      <c r="BE296" s="114"/>
      <c r="BF296" s="114"/>
      <c r="BG296" s="158" t="n">
        <f aca="false">+BC296*$AO$257</f>
        <v>0</v>
      </c>
      <c r="BH296" s="158"/>
      <c r="BI296" s="158"/>
      <c r="BJ296" s="158"/>
      <c r="BK296" s="158"/>
      <c r="BL296" s="158"/>
      <c r="BM296" s="158"/>
      <c r="BN296" s="158"/>
    </row>
    <row r="297" customFormat="false" ht="39.95" hidden="false" customHeight="true" outlineLevel="0" collapsed="false">
      <c r="A297" s="156" t="s">
        <v>1858</v>
      </c>
      <c r="B297" s="156"/>
      <c r="C297" s="156"/>
      <c r="D297" s="156"/>
      <c r="E297" s="156"/>
      <c r="F297" s="156"/>
      <c r="G297" s="114"/>
      <c r="H297" s="114"/>
      <c r="I297" s="114"/>
      <c r="J297" s="114"/>
      <c r="K297" s="158" t="n">
        <f aca="false">+G297*$Q$257</f>
        <v>0</v>
      </c>
      <c r="L297" s="158"/>
      <c r="M297" s="158"/>
      <c r="N297" s="158"/>
      <c r="O297" s="158"/>
      <c r="P297" s="158"/>
      <c r="Q297" s="158"/>
      <c r="R297" s="158"/>
      <c r="S297" s="114"/>
      <c r="T297" s="114"/>
      <c r="U297" s="114"/>
      <c r="V297" s="114"/>
      <c r="W297" s="158" t="n">
        <f aca="false">+S297*$W$257</f>
        <v>0</v>
      </c>
      <c r="X297" s="158"/>
      <c r="Y297" s="158"/>
      <c r="Z297" s="158"/>
      <c r="AA297" s="158"/>
      <c r="AB297" s="158"/>
      <c r="AC297" s="158"/>
      <c r="AD297" s="158"/>
      <c r="AE297" s="114"/>
      <c r="AF297" s="114"/>
      <c r="AG297" s="114"/>
      <c r="AH297" s="114"/>
      <c r="AI297" s="158" t="n">
        <f aca="false">+AE297*$AC$257</f>
        <v>0</v>
      </c>
      <c r="AJ297" s="158"/>
      <c r="AK297" s="158"/>
      <c r="AL297" s="158"/>
      <c r="AM297" s="158"/>
      <c r="AN297" s="158"/>
      <c r="AO297" s="158"/>
      <c r="AP297" s="158"/>
      <c r="AQ297" s="114"/>
      <c r="AR297" s="114"/>
      <c r="AS297" s="114"/>
      <c r="AT297" s="114"/>
      <c r="AU297" s="158" t="n">
        <f aca="false">+AQ297*$AI$257</f>
        <v>0</v>
      </c>
      <c r="AV297" s="158"/>
      <c r="AW297" s="158"/>
      <c r="AX297" s="158"/>
      <c r="AY297" s="158"/>
      <c r="AZ297" s="158"/>
      <c r="BA297" s="158"/>
      <c r="BB297" s="158"/>
      <c r="BC297" s="114"/>
      <c r="BD297" s="114"/>
      <c r="BE297" s="114"/>
      <c r="BF297" s="114"/>
      <c r="BG297" s="158" t="n">
        <f aca="false">+BC297*$AO$257</f>
        <v>0</v>
      </c>
      <c r="BH297" s="158"/>
      <c r="BI297" s="158"/>
      <c r="BJ297" s="158"/>
      <c r="BK297" s="158"/>
      <c r="BL297" s="158"/>
      <c r="BM297" s="158"/>
      <c r="BN297" s="158"/>
    </row>
    <row r="298" customFormat="false" ht="39.95" hidden="false" customHeight="true" outlineLevel="0" collapsed="false">
      <c r="A298" s="160" t="s">
        <v>1809</v>
      </c>
      <c r="B298" s="160"/>
      <c r="C298" s="160"/>
      <c r="D298" s="160"/>
      <c r="E298" s="160"/>
      <c r="F298" s="160"/>
      <c r="G298" s="161" t="n">
        <f aca="false">SUM(G286:J297)</f>
        <v>0</v>
      </c>
      <c r="H298" s="161"/>
      <c r="I298" s="161"/>
      <c r="J298" s="161"/>
      <c r="K298" s="162" t="n">
        <f aca="false">SUM(K286:R297)</f>
        <v>0</v>
      </c>
      <c r="L298" s="162"/>
      <c r="M298" s="162"/>
      <c r="N298" s="162"/>
      <c r="O298" s="162"/>
      <c r="P298" s="162"/>
      <c r="Q298" s="162"/>
      <c r="R298" s="162"/>
      <c r="S298" s="161" t="n">
        <f aca="false">SUM(S286:V297)</f>
        <v>0</v>
      </c>
      <c r="T298" s="161"/>
      <c r="U298" s="161"/>
      <c r="V298" s="161"/>
      <c r="W298" s="162" t="n">
        <f aca="false">SUM(W286:AD297)</f>
        <v>0</v>
      </c>
      <c r="X298" s="162"/>
      <c r="Y298" s="162"/>
      <c r="Z298" s="162"/>
      <c r="AA298" s="162"/>
      <c r="AB298" s="162"/>
      <c r="AC298" s="162"/>
      <c r="AD298" s="162"/>
      <c r="AE298" s="161" t="n">
        <f aca="false">SUM(AE286:AH297)</f>
        <v>0</v>
      </c>
      <c r="AF298" s="161"/>
      <c r="AG298" s="161"/>
      <c r="AH298" s="161"/>
      <c r="AI298" s="162" t="n">
        <f aca="false">SUM(AI286:AP297)</f>
        <v>0</v>
      </c>
      <c r="AJ298" s="162"/>
      <c r="AK298" s="162"/>
      <c r="AL298" s="162"/>
      <c r="AM298" s="162"/>
      <c r="AN298" s="162"/>
      <c r="AO298" s="162"/>
      <c r="AP298" s="162"/>
      <c r="AQ298" s="161" t="n">
        <f aca="false">SUM(AQ286:AT297)</f>
        <v>0</v>
      </c>
      <c r="AR298" s="161"/>
      <c r="AS298" s="161"/>
      <c r="AT298" s="161"/>
      <c r="AU298" s="162" t="n">
        <f aca="false">SUM(AU286:BB297)</f>
        <v>0</v>
      </c>
      <c r="AV298" s="162"/>
      <c r="AW298" s="162"/>
      <c r="AX298" s="162"/>
      <c r="AY298" s="162"/>
      <c r="AZ298" s="162"/>
      <c r="BA298" s="162"/>
      <c r="BB298" s="162"/>
      <c r="BC298" s="161" t="n">
        <f aca="false">SUM(BC286:BF297)</f>
        <v>0</v>
      </c>
      <c r="BD298" s="161"/>
      <c r="BE298" s="161"/>
      <c r="BF298" s="161"/>
      <c r="BG298" s="162" t="n">
        <f aca="false">SUM(BG286:BN297)</f>
        <v>0</v>
      </c>
      <c r="BH298" s="162"/>
      <c r="BI298" s="162"/>
      <c r="BJ298" s="162"/>
      <c r="BK298" s="162"/>
      <c r="BL298" s="162"/>
      <c r="BM298" s="162"/>
      <c r="BN298" s="162"/>
    </row>
    <row r="300" customFormat="false" ht="27" hidden="false" customHeight="true" outlineLevel="0" collapsed="false">
      <c r="A300" s="156" t="s">
        <v>1860</v>
      </c>
      <c r="B300" s="156"/>
      <c r="C300" s="156"/>
      <c r="D300" s="156"/>
      <c r="E300" s="156"/>
      <c r="F300" s="156"/>
      <c r="G300" s="156"/>
      <c r="H300" s="156"/>
      <c r="I300" s="156"/>
      <c r="J300" s="156"/>
      <c r="K300" s="156"/>
      <c r="L300" s="156"/>
      <c r="M300" s="164" t="n">
        <f aca="false">+A258</f>
        <v>0</v>
      </c>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4"/>
      <c r="AO300" s="164"/>
      <c r="AP300" s="164"/>
      <c r="AQ300" s="164"/>
      <c r="AR300" s="164"/>
      <c r="AS300" s="164"/>
      <c r="AT300" s="164"/>
      <c r="AU300" s="164"/>
      <c r="AV300" s="164"/>
      <c r="AW300" s="164"/>
      <c r="AX300" s="164"/>
      <c r="AY300" s="164"/>
      <c r="AZ300" s="164"/>
      <c r="BA300" s="164"/>
      <c r="BB300" s="164"/>
      <c r="BC300" s="164"/>
      <c r="BD300" s="164"/>
      <c r="BE300" s="164"/>
      <c r="BF300" s="164"/>
      <c r="BG300" s="164"/>
      <c r="BH300" s="164"/>
      <c r="BI300" s="164"/>
      <c r="BJ300" s="164"/>
      <c r="BK300" s="164"/>
      <c r="BL300" s="164"/>
      <c r="BM300" s="164"/>
      <c r="BN300" s="164"/>
    </row>
    <row r="302" customFormat="false" ht="27" hidden="false" customHeight="true" outlineLevel="0" collapsed="false">
      <c r="G302" s="156" t="s">
        <v>1840</v>
      </c>
      <c r="H302" s="156"/>
      <c r="I302" s="156"/>
      <c r="J302" s="156"/>
      <c r="K302" s="156"/>
      <c r="L302" s="156"/>
      <c r="M302" s="156"/>
      <c r="N302" s="156"/>
      <c r="O302" s="156"/>
      <c r="P302" s="156"/>
      <c r="Q302" s="156"/>
      <c r="R302" s="156"/>
      <c r="S302" s="156" t="s">
        <v>1841</v>
      </c>
      <c r="T302" s="156"/>
      <c r="U302" s="156"/>
      <c r="V302" s="156"/>
      <c r="W302" s="156"/>
      <c r="X302" s="156"/>
      <c r="Y302" s="156"/>
      <c r="Z302" s="156"/>
      <c r="AA302" s="156"/>
      <c r="AB302" s="156"/>
      <c r="AC302" s="156"/>
      <c r="AD302" s="156"/>
      <c r="AE302" s="156" t="s">
        <v>1842</v>
      </c>
      <c r="AF302" s="156"/>
      <c r="AG302" s="156"/>
      <c r="AH302" s="156"/>
      <c r="AI302" s="156"/>
      <c r="AJ302" s="156"/>
      <c r="AK302" s="156"/>
      <c r="AL302" s="156"/>
      <c r="AM302" s="156"/>
      <c r="AN302" s="156"/>
      <c r="AO302" s="156"/>
      <c r="AP302" s="156"/>
      <c r="AQ302" s="79" t="s">
        <v>1843</v>
      </c>
      <c r="AR302" s="79"/>
      <c r="AS302" s="79"/>
      <c r="AT302" s="79"/>
      <c r="AU302" s="79"/>
      <c r="AV302" s="79"/>
      <c r="AW302" s="79"/>
      <c r="AX302" s="79"/>
      <c r="AY302" s="79"/>
      <c r="AZ302" s="79"/>
      <c r="BA302" s="79"/>
      <c r="BB302" s="79"/>
      <c r="BC302" s="79" t="s">
        <v>1844</v>
      </c>
      <c r="BD302" s="79"/>
      <c r="BE302" s="79"/>
      <c r="BF302" s="79"/>
      <c r="BG302" s="79"/>
      <c r="BH302" s="79"/>
      <c r="BI302" s="79"/>
      <c r="BJ302" s="79"/>
      <c r="BK302" s="79"/>
      <c r="BL302" s="79"/>
      <c r="BM302" s="79"/>
      <c r="BN302" s="79"/>
    </row>
    <row r="303" customFormat="false" ht="29.25" hidden="false" customHeight="true" outlineLevel="0" collapsed="false">
      <c r="G303" s="156" t="s">
        <v>1845</v>
      </c>
      <c r="H303" s="156"/>
      <c r="I303" s="156"/>
      <c r="J303" s="156"/>
      <c r="K303" s="156" t="s">
        <v>1846</v>
      </c>
      <c r="L303" s="156"/>
      <c r="M303" s="156"/>
      <c r="N303" s="156"/>
      <c r="O303" s="156"/>
      <c r="P303" s="156"/>
      <c r="Q303" s="156"/>
      <c r="R303" s="156"/>
      <c r="S303" s="156" t="s">
        <v>1845</v>
      </c>
      <c r="T303" s="156"/>
      <c r="U303" s="156"/>
      <c r="V303" s="156"/>
      <c r="W303" s="156" t="s">
        <v>1846</v>
      </c>
      <c r="X303" s="156"/>
      <c r="Y303" s="156"/>
      <c r="Z303" s="156"/>
      <c r="AA303" s="156"/>
      <c r="AB303" s="156"/>
      <c r="AC303" s="156"/>
      <c r="AD303" s="156"/>
      <c r="AE303" s="156" t="s">
        <v>1845</v>
      </c>
      <c r="AF303" s="156"/>
      <c r="AG303" s="156"/>
      <c r="AH303" s="156"/>
      <c r="AI303" s="156" t="s">
        <v>1846</v>
      </c>
      <c r="AJ303" s="156"/>
      <c r="AK303" s="156"/>
      <c r="AL303" s="156"/>
      <c r="AM303" s="156"/>
      <c r="AN303" s="156"/>
      <c r="AO303" s="156"/>
      <c r="AP303" s="156"/>
      <c r="AQ303" s="79" t="s">
        <v>1845</v>
      </c>
      <c r="AR303" s="79"/>
      <c r="AS303" s="79"/>
      <c r="AT303" s="79"/>
      <c r="AU303" s="79" t="s">
        <v>1846</v>
      </c>
      <c r="AV303" s="79"/>
      <c r="AW303" s="79"/>
      <c r="AX303" s="79"/>
      <c r="AY303" s="79"/>
      <c r="AZ303" s="79"/>
      <c r="BA303" s="79"/>
      <c r="BB303" s="79"/>
      <c r="BC303" s="79" t="s">
        <v>1845</v>
      </c>
      <c r="BD303" s="79"/>
      <c r="BE303" s="79"/>
      <c r="BF303" s="79"/>
      <c r="BG303" s="79" t="s">
        <v>1846</v>
      </c>
      <c r="BH303" s="79"/>
      <c r="BI303" s="79"/>
      <c r="BJ303" s="79"/>
      <c r="BK303" s="79"/>
      <c r="BL303" s="79"/>
      <c r="BM303" s="79"/>
      <c r="BN303" s="79"/>
    </row>
    <row r="304" customFormat="false" ht="39.95" hidden="false" customHeight="true" outlineLevel="0" collapsed="false">
      <c r="A304" s="156" t="s">
        <v>1847</v>
      </c>
      <c r="B304" s="156"/>
      <c r="C304" s="156"/>
      <c r="D304" s="156"/>
      <c r="E304" s="156"/>
      <c r="F304" s="156"/>
      <c r="G304" s="114"/>
      <c r="H304" s="114"/>
      <c r="I304" s="114"/>
      <c r="J304" s="114"/>
      <c r="K304" s="158" t="n">
        <f aca="false">+G304*$Q$258</f>
        <v>0</v>
      </c>
      <c r="L304" s="158"/>
      <c r="M304" s="158"/>
      <c r="N304" s="158"/>
      <c r="O304" s="158"/>
      <c r="P304" s="158"/>
      <c r="Q304" s="158"/>
      <c r="R304" s="158"/>
      <c r="S304" s="114"/>
      <c r="T304" s="114"/>
      <c r="U304" s="114"/>
      <c r="V304" s="114"/>
      <c r="W304" s="158" t="n">
        <f aca="false">+S304*$W$258</f>
        <v>0</v>
      </c>
      <c r="X304" s="158"/>
      <c r="Y304" s="158"/>
      <c r="Z304" s="158"/>
      <c r="AA304" s="158"/>
      <c r="AB304" s="158"/>
      <c r="AC304" s="158"/>
      <c r="AD304" s="158"/>
      <c r="AE304" s="114"/>
      <c r="AF304" s="114"/>
      <c r="AG304" s="114"/>
      <c r="AH304" s="114"/>
      <c r="AI304" s="158" t="n">
        <f aca="false">+AE304*$AC$258</f>
        <v>0</v>
      </c>
      <c r="AJ304" s="158"/>
      <c r="AK304" s="158"/>
      <c r="AL304" s="158"/>
      <c r="AM304" s="158"/>
      <c r="AN304" s="158"/>
      <c r="AO304" s="158"/>
      <c r="AP304" s="158"/>
      <c r="AQ304" s="114"/>
      <c r="AR304" s="114"/>
      <c r="AS304" s="114"/>
      <c r="AT304" s="114"/>
      <c r="AU304" s="158" t="n">
        <f aca="false">+AQ304*$AI$258</f>
        <v>0</v>
      </c>
      <c r="AV304" s="158"/>
      <c r="AW304" s="158"/>
      <c r="AX304" s="158"/>
      <c r="AY304" s="158"/>
      <c r="AZ304" s="158"/>
      <c r="BA304" s="158"/>
      <c r="BB304" s="158"/>
      <c r="BC304" s="114"/>
      <c r="BD304" s="114"/>
      <c r="BE304" s="114"/>
      <c r="BF304" s="114"/>
      <c r="BG304" s="158" t="n">
        <f aca="false">+BC304*$AO$258</f>
        <v>0</v>
      </c>
      <c r="BH304" s="158"/>
      <c r="BI304" s="158"/>
      <c r="BJ304" s="158"/>
      <c r="BK304" s="158"/>
      <c r="BL304" s="158"/>
      <c r="BM304" s="158"/>
      <c r="BN304" s="158"/>
    </row>
    <row r="305" customFormat="false" ht="39.95" hidden="false" customHeight="true" outlineLevel="0" collapsed="false">
      <c r="A305" s="156" t="s">
        <v>1848</v>
      </c>
      <c r="B305" s="156"/>
      <c r="C305" s="156"/>
      <c r="D305" s="156"/>
      <c r="E305" s="156"/>
      <c r="F305" s="156"/>
      <c r="G305" s="114"/>
      <c r="H305" s="114"/>
      <c r="I305" s="114"/>
      <c r="J305" s="114"/>
      <c r="K305" s="158" t="n">
        <f aca="false">+G305*$Q$258</f>
        <v>0</v>
      </c>
      <c r="L305" s="158"/>
      <c r="M305" s="158"/>
      <c r="N305" s="158"/>
      <c r="O305" s="158"/>
      <c r="P305" s="158"/>
      <c r="Q305" s="158"/>
      <c r="R305" s="158"/>
      <c r="S305" s="114"/>
      <c r="T305" s="114"/>
      <c r="U305" s="114"/>
      <c r="V305" s="114"/>
      <c r="W305" s="158" t="n">
        <f aca="false">+S305*$W$258</f>
        <v>0</v>
      </c>
      <c r="X305" s="158"/>
      <c r="Y305" s="158"/>
      <c r="Z305" s="158"/>
      <c r="AA305" s="158"/>
      <c r="AB305" s="158"/>
      <c r="AC305" s="158"/>
      <c r="AD305" s="158"/>
      <c r="AE305" s="114"/>
      <c r="AF305" s="114"/>
      <c r="AG305" s="114"/>
      <c r="AH305" s="114"/>
      <c r="AI305" s="158" t="n">
        <f aca="false">+AE305*$AC$258</f>
        <v>0</v>
      </c>
      <c r="AJ305" s="158"/>
      <c r="AK305" s="158"/>
      <c r="AL305" s="158"/>
      <c r="AM305" s="158"/>
      <c r="AN305" s="158"/>
      <c r="AO305" s="158"/>
      <c r="AP305" s="158"/>
      <c r="AQ305" s="114"/>
      <c r="AR305" s="114"/>
      <c r="AS305" s="114"/>
      <c r="AT305" s="114"/>
      <c r="AU305" s="158" t="n">
        <f aca="false">+AQ305*$AI$258</f>
        <v>0</v>
      </c>
      <c r="AV305" s="158"/>
      <c r="AW305" s="158"/>
      <c r="AX305" s="158"/>
      <c r="AY305" s="158"/>
      <c r="AZ305" s="158"/>
      <c r="BA305" s="158"/>
      <c r="BB305" s="158"/>
      <c r="BC305" s="114"/>
      <c r="BD305" s="114"/>
      <c r="BE305" s="114"/>
      <c r="BF305" s="114"/>
      <c r="BG305" s="158" t="n">
        <f aca="false">+BC305*$AO$258</f>
        <v>0</v>
      </c>
      <c r="BH305" s="158"/>
      <c r="BI305" s="158"/>
      <c r="BJ305" s="158"/>
      <c r="BK305" s="158"/>
      <c r="BL305" s="158"/>
      <c r="BM305" s="158"/>
      <c r="BN305" s="158"/>
    </row>
    <row r="306" customFormat="false" ht="39.95" hidden="false" customHeight="true" outlineLevel="0" collapsed="false">
      <c r="A306" s="156" t="s">
        <v>1849</v>
      </c>
      <c r="B306" s="156"/>
      <c r="C306" s="156"/>
      <c r="D306" s="156"/>
      <c r="E306" s="156"/>
      <c r="F306" s="156"/>
      <c r="G306" s="114"/>
      <c r="H306" s="114"/>
      <c r="I306" s="114"/>
      <c r="J306" s="114"/>
      <c r="K306" s="158" t="n">
        <f aca="false">+G306*$Q$258</f>
        <v>0</v>
      </c>
      <c r="L306" s="158"/>
      <c r="M306" s="158"/>
      <c r="N306" s="158"/>
      <c r="O306" s="158"/>
      <c r="P306" s="158"/>
      <c r="Q306" s="158"/>
      <c r="R306" s="158"/>
      <c r="S306" s="114"/>
      <c r="T306" s="114"/>
      <c r="U306" s="114"/>
      <c r="V306" s="114"/>
      <c r="W306" s="158" t="n">
        <f aca="false">+S306*$W$258</f>
        <v>0</v>
      </c>
      <c r="X306" s="158"/>
      <c r="Y306" s="158"/>
      <c r="Z306" s="158"/>
      <c r="AA306" s="158"/>
      <c r="AB306" s="158"/>
      <c r="AC306" s="158"/>
      <c r="AD306" s="158"/>
      <c r="AE306" s="114"/>
      <c r="AF306" s="114"/>
      <c r="AG306" s="114"/>
      <c r="AH306" s="114"/>
      <c r="AI306" s="158" t="n">
        <f aca="false">+AE306*$AC$258</f>
        <v>0</v>
      </c>
      <c r="AJ306" s="158"/>
      <c r="AK306" s="158"/>
      <c r="AL306" s="158"/>
      <c r="AM306" s="158"/>
      <c r="AN306" s="158"/>
      <c r="AO306" s="158"/>
      <c r="AP306" s="158"/>
      <c r="AQ306" s="114"/>
      <c r="AR306" s="114"/>
      <c r="AS306" s="114"/>
      <c r="AT306" s="114"/>
      <c r="AU306" s="158" t="n">
        <f aca="false">+AQ306*$AI$258</f>
        <v>0</v>
      </c>
      <c r="AV306" s="158"/>
      <c r="AW306" s="158"/>
      <c r="AX306" s="158"/>
      <c r="AY306" s="158"/>
      <c r="AZ306" s="158"/>
      <c r="BA306" s="158"/>
      <c r="BB306" s="158"/>
      <c r="BC306" s="114"/>
      <c r="BD306" s="114"/>
      <c r="BE306" s="114"/>
      <c r="BF306" s="114"/>
      <c r="BG306" s="158" t="n">
        <f aca="false">+BC306*$AO$258</f>
        <v>0</v>
      </c>
      <c r="BH306" s="158"/>
      <c r="BI306" s="158"/>
      <c r="BJ306" s="158"/>
      <c r="BK306" s="158"/>
      <c r="BL306" s="158"/>
      <c r="BM306" s="158"/>
      <c r="BN306" s="158"/>
    </row>
    <row r="307" customFormat="false" ht="39.95" hidden="false" customHeight="true" outlineLevel="0" collapsed="false">
      <c r="A307" s="156" t="s">
        <v>1850</v>
      </c>
      <c r="B307" s="156"/>
      <c r="C307" s="156"/>
      <c r="D307" s="156"/>
      <c r="E307" s="156"/>
      <c r="F307" s="156"/>
      <c r="G307" s="114"/>
      <c r="H307" s="114"/>
      <c r="I307" s="114"/>
      <c r="J307" s="114"/>
      <c r="K307" s="158" t="n">
        <f aca="false">+G307*$Q$258</f>
        <v>0</v>
      </c>
      <c r="L307" s="158"/>
      <c r="M307" s="158"/>
      <c r="N307" s="158"/>
      <c r="O307" s="158"/>
      <c r="P307" s="158"/>
      <c r="Q307" s="158"/>
      <c r="R307" s="158"/>
      <c r="S307" s="114"/>
      <c r="T307" s="114"/>
      <c r="U307" s="114"/>
      <c r="V307" s="114"/>
      <c r="W307" s="158" t="n">
        <f aca="false">+S307*$W$258</f>
        <v>0</v>
      </c>
      <c r="X307" s="158"/>
      <c r="Y307" s="158"/>
      <c r="Z307" s="158"/>
      <c r="AA307" s="158"/>
      <c r="AB307" s="158"/>
      <c r="AC307" s="158"/>
      <c r="AD307" s="158"/>
      <c r="AE307" s="114"/>
      <c r="AF307" s="114"/>
      <c r="AG307" s="114"/>
      <c r="AH307" s="114"/>
      <c r="AI307" s="158" t="n">
        <f aca="false">+AE307*$AC$258</f>
        <v>0</v>
      </c>
      <c r="AJ307" s="158"/>
      <c r="AK307" s="158"/>
      <c r="AL307" s="158"/>
      <c r="AM307" s="158"/>
      <c r="AN307" s="158"/>
      <c r="AO307" s="158"/>
      <c r="AP307" s="158"/>
      <c r="AQ307" s="114"/>
      <c r="AR307" s="114"/>
      <c r="AS307" s="114"/>
      <c r="AT307" s="114"/>
      <c r="AU307" s="158" t="n">
        <f aca="false">+AQ307*$AI$258</f>
        <v>0</v>
      </c>
      <c r="AV307" s="158"/>
      <c r="AW307" s="158"/>
      <c r="AX307" s="158"/>
      <c r="AY307" s="158"/>
      <c r="AZ307" s="158"/>
      <c r="BA307" s="158"/>
      <c r="BB307" s="158"/>
      <c r="BC307" s="114"/>
      <c r="BD307" s="114"/>
      <c r="BE307" s="114"/>
      <c r="BF307" s="114"/>
      <c r="BG307" s="158" t="n">
        <f aca="false">+BC307*$AO$258</f>
        <v>0</v>
      </c>
      <c r="BH307" s="158"/>
      <c r="BI307" s="158"/>
      <c r="BJ307" s="158"/>
      <c r="BK307" s="158"/>
      <c r="BL307" s="158"/>
      <c r="BM307" s="158"/>
      <c r="BN307" s="158"/>
    </row>
    <row r="308" customFormat="false" ht="39.95" hidden="false" customHeight="true" outlineLevel="0" collapsed="false">
      <c r="A308" s="156" t="s">
        <v>1851</v>
      </c>
      <c r="B308" s="156"/>
      <c r="C308" s="156"/>
      <c r="D308" s="156"/>
      <c r="E308" s="156"/>
      <c r="F308" s="156"/>
      <c r="G308" s="114"/>
      <c r="H308" s="114"/>
      <c r="I308" s="114"/>
      <c r="J308" s="114"/>
      <c r="K308" s="158" t="n">
        <f aca="false">+G308*$Q$258</f>
        <v>0</v>
      </c>
      <c r="L308" s="158"/>
      <c r="M308" s="158"/>
      <c r="N308" s="158"/>
      <c r="O308" s="158"/>
      <c r="P308" s="158"/>
      <c r="Q308" s="158"/>
      <c r="R308" s="158"/>
      <c r="S308" s="114"/>
      <c r="T308" s="114"/>
      <c r="U308" s="114"/>
      <c r="V308" s="114"/>
      <c r="W308" s="158" t="n">
        <f aca="false">+S308*$W$258</f>
        <v>0</v>
      </c>
      <c r="X308" s="158"/>
      <c r="Y308" s="158"/>
      <c r="Z308" s="158"/>
      <c r="AA308" s="158"/>
      <c r="AB308" s="158"/>
      <c r="AC308" s="158"/>
      <c r="AD308" s="158"/>
      <c r="AE308" s="114"/>
      <c r="AF308" s="114"/>
      <c r="AG308" s="114"/>
      <c r="AH308" s="114"/>
      <c r="AI308" s="158" t="n">
        <f aca="false">+AE308*$AC$258</f>
        <v>0</v>
      </c>
      <c r="AJ308" s="158"/>
      <c r="AK308" s="158"/>
      <c r="AL308" s="158"/>
      <c r="AM308" s="158"/>
      <c r="AN308" s="158"/>
      <c r="AO308" s="158"/>
      <c r="AP308" s="158"/>
      <c r="AQ308" s="114"/>
      <c r="AR308" s="114"/>
      <c r="AS308" s="114"/>
      <c r="AT308" s="114"/>
      <c r="AU308" s="158" t="n">
        <f aca="false">+AQ308*$AI$258</f>
        <v>0</v>
      </c>
      <c r="AV308" s="158"/>
      <c r="AW308" s="158"/>
      <c r="AX308" s="158"/>
      <c r="AY308" s="158"/>
      <c r="AZ308" s="158"/>
      <c r="BA308" s="158"/>
      <c r="BB308" s="158"/>
      <c r="BC308" s="114"/>
      <c r="BD308" s="114"/>
      <c r="BE308" s="114"/>
      <c r="BF308" s="114"/>
      <c r="BG308" s="158" t="n">
        <f aca="false">+BC308*$AO$258</f>
        <v>0</v>
      </c>
      <c r="BH308" s="158"/>
      <c r="BI308" s="158"/>
      <c r="BJ308" s="158"/>
      <c r="BK308" s="158"/>
      <c r="BL308" s="158"/>
      <c r="BM308" s="158"/>
      <c r="BN308" s="158"/>
    </row>
    <row r="309" customFormat="false" ht="39.95" hidden="false" customHeight="true" outlineLevel="0" collapsed="false">
      <c r="A309" s="156" t="s">
        <v>1852</v>
      </c>
      <c r="B309" s="156"/>
      <c r="C309" s="156"/>
      <c r="D309" s="156"/>
      <c r="E309" s="156"/>
      <c r="F309" s="156"/>
      <c r="G309" s="114"/>
      <c r="H309" s="114"/>
      <c r="I309" s="114"/>
      <c r="J309" s="114"/>
      <c r="K309" s="158" t="n">
        <f aca="false">+G309*$Q$258</f>
        <v>0</v>
      </c>
      <c r="L309" s="158"/>
      <c r="M309" s="158"/>
      <c r="N309" s="158"/>
      <c r="O309" s="158"/>
      <c r="P309" s="158"/>
      <c r="Q309" s="158"/>
      <c r="R309" s="158"/>
      <c r="S309" s="114"/>
      <c r="T309" s="114"/>
      <c r="U309" s="114"/>
      <c r="V309" s="114"/>
      <c r="W309" s="158" t="n">
        <f aca="false">+S309*$W$258</f>
        <v>0</v>
      </c>
      <c r="X309" s="158"/>
      <c r="Y309" s="158"/>
      <c r="Z309" s="158"/>
      <c r="AA309" s="158"/>
      <c r="AB309" s="158"/>
      <c r="AC309" s="158"/>
      <c r="AD309" s="158"/>
      <c r="AE309" s="114"/>
      <c r="AF309" s="114"/>
      <c r="AG309" s="114"/>
      <c r="AH309" s="114"/>
      <c r="AI309" s="158" t="n">
        <f aca="false">+AE309*$AC$258</f>
        <v>0</v>
      </c>
      <c r="AJ309" s="158"/>
      <c r="AK309" s="158"/>
      <c r="AL309" s="158"/>
      <c r="AM309" s="158"/>
      <c r="AN309" s="158"/>
      <c r="AO309" s="158"/>
      <c r="AP309" s="158"/>
      <c r="AQ309" s="114"/>
      <c r="AR309" s="114"/>
      <c r="AS309" s="114"/>
      <c r="AT309" s="114"/>
      <c r="AU309" s="158" t="n">
        <f aca="false">+AQ309*$AI$258</f>
        <v>0</v>
      </c>
      <c r="AV309" s="158"/>
      <c r="AW309" s="158"/>
      <c r="AX309" s="158"/>
      <c r="AY309" s="158"/>
      <c r="AZ309" s="158"/>
      <c r="BA309" s="158"/>
      <c r="BB309" s="158"/>
      <c r="BC309" s="114"/>
      <c r="BD309" s="114"/>
      <c r="BE309" s="114"/>
      <c r="BF309" s="114"/>
      <c r="BG309" s="158" t="n">
        <f aca="false">+BC309*$AO$258</f>
        <v>0</v>
      </c>
      <c r="BH309" s="158"/>
      <c r="BI309" s="158"/>
      <c r="BJ309" s="158"/>
      <c r="BK309" s="158"/>
      <c r="BL309" s="158"/>
      <c r="BM309" s="158"/>
      <c r="BN309" s="158"/>
    </row>
    <row r="310" customFormat="false" ht="39.95" hidden="false" customHeight="true" outlineLevel="0" collapsed="false">
      <c r="A310" s="156" t="s">
        <v>1853</v>
      </c>
      <c r="B310" s="156"/>
      <c r="C310" s="156"/>
      <c r="D310" s="156"/>
      <c r="E310" s="156"/>
      <c r="F310" s="156"/>
      <c r="G310" s="114"/>
      <c r="H310" s="114"/>
      <c r="I310" s="114"/>
      <c r="J310" s="114"/>
      <c r="K310" s="158" t="n">
        <f aca="false">+G310*$Q$258</f>
        <v>0</v>
      </c>
      <c r="L310" s="158"/>
      <c r="M310" s="158"/>
      <c r="N310" s="158"/>
      <c r="O310" s="158"/>
      <c r="P310" s="158"/>
      <c r="Q310" s="158"/>
      <c r="R310" s="158"/>
      <c r="S310" s="114"/>
      <c r="T310" s="114"/>
      <c r="U310" s="114"/>
      <c r="V310" s="114"/>
      <c r="W310" s="158" t="n">
        <f aca="false">+S310*$W$258</f>
        <v>0</v>
      </c>
      <c r="X310" s="158"/>
      <c r="Y310" s="158"/>
      <c r="Z310" s="158"/>
      <c r="AA310" s="158"/>
      <c r="AB310" s="158"/>
      <c r="AC310" s="158"/>
      <c r="AD310" s="158"/>
      <c r="AE310" s="114"/>
      <c r="AF310" s="114"/>
      <c r="AG310" s="114"/>
      <c r="AH310" s="114"/>
      <c r="AI310" s="158" t="n">
        <f aca="false">+AE310*$AC$258</f>
        <v>0</v>
      </c>
      <c r="AJ310" s="158"/>
      <c r="AK310" s="158"/>
      <c r="AL310" s="158"/>
      <c r="AM310" s="158"/>
      <c r="AN310" s="158"/>
      <c r="AO310" s="158"/>
      <c r="AP310" s="158"/>
      <c r="AQ310" s="114"/>
      <c r="AR310" s="114"/>
      <c r="AS310" s="114"/>
      <c r="AT310" s="114"/>
      <c r="AU310" s="158" t="n">
        <f aca="false">+AQ310*$AI$258</f>
        <v>0</v>
      </c>
      <c r="AV310" s="158"/>
      <c r="AW310" s="158"/>
      <c r="AX310" s="158"/>
      <c r="AY310" s="158"/>
      <c r="AZ310" s="158"/>
      <c r="BA310" s="158"/>
      <c r="BB310" s="158"/>
      <c r="BC310" s="114"/>
      <c r="BD310" s="114"/>
      <c r="BE310" s="114"/>
      <c r="BF310" s="114"/>
      <c r="BG310" s="158" t="n">
        <f aca="false">+BC310*$AO$258</f>
        <v>0</v>
      </c>
      <c r="BH310" s="158"/>
      <c r="BI310" s="158"/>
      <c r="BJ310" s="158"/>
      <c r="BK310" s="158"/>
      <c r="BL310" s="158"/>
      <c r="BM310" s="158"/>
      <c r="BN310" s="158"/>
    </row>
    <row r="311" customFormat="false" ht="39.95" hidden="false" customHeight="true" outlineLevel="0" collapsed="false">
      <c r="A311" s="156" t="s">
        <v>1854</v>
      </c>
      <c r="B311" s="156"/>
      <c r="C311" s="156"/>
      <c r="D311" s="156"/>
      <c r="E311" s="156"/>
      <c r="F311" s="156"/>
      <c r="G311" s="114"/>
      <c r="H311" s="114"/>
      <c r="I311" s="114"/>
      <c r="J311" s="114"/>
      <c r="K311" s="158" t="n">
        <f aca="false">+G311*$Q$258</f>
        <v>0</v>
      </c>
      <c r="L311" s="158"/>
      <c r="M311" s="158"/>
      <c r="N311" s="158"/>
      <c r="O311" s="158"/>
      <c r="P311" s="158"/>
      <c r="Q311" s="158"/>
      <c r="R311" s="158"/>
      <c r="S311" s="114"/>
      <c r="T311" s="114"/>
      <c r="U311" s="114"/>
      <c r="V311" s="114"/>
      <c r="W311" s="158" t="n">
        <f aca="false">+S311*$W$258</f>
        <v>0</v>
      </c>
      <c r="X311" s="158"/>
      <c r="Y311" s="158"/>
      <c r="Z311" s="158"/>
      <c r="AA311" s="158"/>
      <c r="AB311" s="158"/>
      <c r="AC311" s="158"/>
      <c r="AD311" s="158"/>
      <c r="AE311" s="114"/>
      <c r="AF311" s="114"/>
      <c r="AG311" s="114"/>
      <c r="AH311" s="114"/>
      <c r="AI311" s="158" t="n">
        <f aca="false">+AE311*$AC$258</f>
        <v>0</v>
      </c>
      <c r="AJ311" s="158"/>
      <c r="AK311" s="158"/>
      <c r="AL311" s="158"/>
      <c r="AM311" s="158"/>
      <c r="AN311" s="158"/>
      <c r="AO311" s="158"/>
      <c r="AP311" s="158"/>
      <c r="AQ311" s="114"/>
      <c r="AR311" s="114"/>
      <c r="AS311" s="114"/>
      <c r="AT311" s="114"/>
      <c r="AU311" s="158" t="n">
        <f aca="false">+AQ311*$AI$258</f>
        <v>0</v>
      </c>
      <c r="AV311" s="158"/>
      <c r="AW311" s="158"/>
      <c r="AX311" s="158"/>
      <c r="AY311" s="158"/>
      <c r="AZ311" s="158"/>
      <c r="BA311" s="158"/>
      <c r="BB311" s="158"/>
      <c r="BC311" s="114"/>
      <c r="BD311" s="114"/>
      <c r="BE311" s="114"/>
      <c r="BF311" s="114"/>
      <c r="BG311" s="158" t="n">
        <f aca="false">+BC311*$AO$258</f>
        <v>0</v>
      </c>
      <c r="BH311" s="158"/>
      <c r="BI311" s="158"/>
      <c r="BJ311" s="158"/>
      <c r="BK311" s="158"/>
      <c r="BL311" s="158"/>
      <c r="BM311" s="158"/>
      <c r="BN311" s="158"/>
    </row>
    <row r="312" customFormat="false" ht="39.95" hidden="false" customHeight="true" outlineLevel="0" collapsed="false">
      <c r="A312" s="156" t="s">
        <v>1855</v>
      </c>
      <c r="B312" s="156"/>
      <c r="C312" s="156"/>
      <c r="D312" s="156"/>
      <c r="E312" s="156"/>
      <c r="F312" s="156"/>
      <c r="G312" s="114"/>
      <c r="H312" s="114"/>
      <c r="I312" s="114"/>
      <c r="J312" s="114"/>
      <c r="K312" s="158" t="n">
        <f aca="false">+G312*$Q$258</f>
        <v>0</v>
      </c>
      <c r="L312" s="158"/>
      <c r="M312" s="158"/>
      <c r="N312" s="158"/>
      <c r="O312" s="158"/>
      <c r="P312" s="158"/>
      <c r="Q312" s="158"/>
      <c r="R312" s="158"/>
      <c r="S312" s="114"/>
      <c r="T312" s="114"/>
      <c r="U312" s="114"/>
      <c r="V312" s="114"/>
      <c r="W312" s="158" t="n">
        <f aca="false">+S312*$W$258</f>
        <v>0</v>
      </c>
      <c r="X312" s="158"/>
      <c r="Y312" s="158"/>
      <c r="Z312" s="158"/>
      <c r="AA312" s="158"/>
      <c r="AB312" s="158"/>
      <c r="AC312" s="158"/>
      <c r="AD312" s="158"/>
      <c r="AE312" s="114"/>
      <c r="AF312" s="114"/>
      <c r="AG312" s="114"/>
      <c r="AH312" s="114"/>
      <c r="AI312" s="158" t="n">
        <f aca="false">+AE312*$AC$258</f>
        <v>0</v>
      </c>
      <c r="AJ312" s="158"/>
      <c r="AK312" s="158"/>
      <c r="AL312" s="158"/>
      <c r="AM312" s="158"/>
      <c r="AN312" s="158"/>
      <c r="AO312" s="158"/>
      <c r="AP312" s="158"/>
      <c r="AQ312" s="114"/>
      <c r="AR312" s="114"/>
      <c r="AS312" s="114"/>
      <c r="AT312" s="114"/>
      <c r="AU312" s="158" t="n">
        <f aca="false">+AQ312*$AI$258</f>
        <v>0</v>
      </c>
      <c r="AV312" s="158"/>
      <c r="AW312" s="158"/>
      <c r="AX312" s="158"/>
      <c r="AY312" s="158"/>
      <c r="AZ312" s="158"/>
      <c r="BA312" s="158"/>
      <c r="BB312" s="158"/>
      <c r="BC312" s="114"/>
      <c r="BD312" s="114"/>
      <c r="BE312" s="114"/>
      <c r="BF312" s="114"/>
      <c r="BG312" s="158" t="n">
        <f aca="false">+BC312*$AO$258</f>
        <v>0</v>
      </c>
      <c r="BH312" s="158"/>
      <c r="BI312" s="158"/>
      <c r="BJ312" s="158"/>
      <c r="BK312" s="158"/>
      <c r="BL312" s="158"/>
      <c r="BM312" s="158"/>
      <c r="BN312" s="158"/>
    </row>
    <row r="313" customFormat="false" ht="39.95" hidden="false" customHeight="true" outlineLevel="0" collapsed="false">
      <c r="A313" s="156" t="s">
        <v>1856</v>
      </c>
      <c r="B313" s="156"/>
      <c r="C313" s="156"/>
      <c r="D313" s="156"/>
      <c r="E313" s="156"/>
      <c r="F313" s="156"/>
      <c r="G313" s="114"/>
      <c r="H313" s="114"/>
      <c r="I313" s="114"/>
      <c r="J313" s="114"/>
      <c r="K313" s="158" t="n">
        <f aca="false">+G313*$Q$258</f>
        <v>0</v>
      </c>
      <c r="L313" s="158"/>
      <c r="M313" s="158"/>
      <c r="N313" s="158"/>
      <c r="O313" s="158"/>
      <c r="P313" s="158"/>
      <c r="Q313" s="158"/>
      <c r="R313" s="158"/>
      <c r="S313" s="114"/>
      <c r="T313" s="114"/>
      <c r="U313" s="114"/>
      <c r="V313" s="114"/>
      <c r="W313" s="158" t="n">
        <f aca="false">+S313*$W$258</f>
        <v>0</v>
      </c>
      <c r="X313" s="158"/>
      <c r="Y313" s="158"/>
      <c r="Z313" s="158"/>
      <c r="AA313" s="158"/>
      <c r="AB313" s="158"/>
      <c r="AC313" s="158"/>
      <c r="AD313" s="158"/>
      <c r="AE313" s="114"/>
      <c r="AF313" s="114"/>
      <c r="AG313" s="114"/>
      <c r="AH313" s="114"/>
      <c r="AI313" s="158" t="n">
        <f aca="false">+AE313*$AC$258</f>
        <v>0</v>
      </c>
      <c r="AJ313" s="158"/>
      <c r="AK313" s="158"/>
      <c r="AL313" s="158"/>
      <c r="AM313" s="158"/>
      <c r="AN313" s="158"/>
      <c r="AO313" s="158"/>
      <c r="AP313" s="158"/>
      <c r="AQ313" s="114"/>
      <c r="AR313" s="114"/>
      <c r="AS313" s="114"/>
      <c r="AT313" s="114"/>
      <c r="AU313" s="158" t="n">
        <f aca="false">+AQ313*$AI$258</f>
        <v>0</v>
      </c>
      <c r="AV313" s="158"/>
      <c r="AW313" s="158"/>
      <c r="AX313" s="158"/>
      <c r="AY313" s="158"/>
      <c r="AZ313" s="158"/>
      <c r="BA313" s="158"/>
      <c r="BB313" s="158"/>
      <c r="BC313" s="114"/>
      <c r="BD313" s="114"/>
      <c r="BE313" s="114"/>
      <c r="BF313" s="114"/>
      <c r="BG313" s="158" t="n">
        <f aca="false">+BC313*$AO$258</f>
        <v>0</v>
      </c>
      <c r="BH313" s="158"/>
      <c r="BI313" s="158"/>
      <c r="BJ313" s="158"/>
      <c r="BK313" s="158"/>
      <c r="BL313" s="158"/>
      <c r="BM313" s="158"/>
      <c r="BN313" s="158"/>
    </row>
    <row r="314" customFormat="false" ht="39.95" hidden="false" customHeight="true" outlineLevel="0" collapsed="false">
      <c r="A314" s="156" t="s">
        <v>1857</v>
      </c>
      <c r="B314" s="156"/>
      <c r="C314" s="156"/>
      <c r="D314" s="156"/>
      <c r="E314" s="156"/>
      <c r="F314" s="156"/>
      <c r="G314" s="114"/>
      <c r="H314" s="114"/>
      <c r="I314" s="114"/>
      <c r="J314" s="114"/>
      <c r="K314" s="158" t="n">
        <f aca="false">+G314*$Q$258</f>
        <v>0</v>
      </c>
      <c r="L314" s="158"/>
      <c r="M314" s="158"/>
      <c r="N314" s="158"/>
      <c r="O314" s="158"/>
      <c r="P314" s="158"/>
      <c r="Q314" s="158"/>
      <c r="R314" s="158"/>
      <c r="S314" s="114"/>
      <c r="T314" s="114"/>
      <c r="U314" s="114"/>
      <c r="V314" s="114"/>
      <c r="W314" s="158" t="n">
        <f aca="false">+S314*$W$258</f>
        <v>0</v>
      </c>
      <c r="X314" s="158"/>
      <c r="Y314" s="158"/>
      <c r="Z314" s="158"/>
      <c r="AA314" s="158"/>
      <c r="AB314" s="158"/>
      <c r="AC314" s="158"/>
      <c r="AD314" s="158"/>
      <c r="AE314" s="114"/>
      <c r="AF314" s="114"/>
      <c r="AG314" s="114"/>
      <c r="AH314" s="114"/>
      <c r="AI314" s="158" t="n">
        <f aca="false">+AE314*$AC$258</f>
        <v>0</v>
      </c>
      <c r="AJ314" s="158"/>
      <c r="AK314" s="158"/>
      <c r="AL314" s="158"/>
      <c r="AM314" s="158"/>
      <c r="AN314" s="158"/>
      <c r="AO314" s="158"/>
      <c r="AP314" s="158"/>
      <c r="AQ314" s="114"/>
      <c r="AR314" s="114"/>
      <c r="AS314" s="114"/>
      <c r="AT314" s="114"/>
      <c r="AU314" s="158" t="n">
        <f aca="false">+AQ314*$AI$258</f>
        <v>0</v>
      </c>
      <c r="AV314" s="158"/>
      <c r="AW314" s="158"/>
      <c r="AX314" s="158"/>
      <c r="AY314" s="158"/>
      <c r="AZ314" s="158"/>
      <c r="BA314" s="158"/>
      <c r="BB314" s="158"/>
      <c r="BC314" s="114"/>
      <c r="BD314" s="114"/>
      <c r="BE314" s="114"/>
      <c r="BF314" s="114"/>
      <c r="BG314" s="158" t="n">
        <f aca="false">+BC314*$AO$258</f>
        <v>0</v>
      </c>
      <c r="BH314" s="158"/>
      <c r="BI314" s="158"/>
      <c r="BJ314" s="158"/>
      <c r="BK314" s="158"/>
      <c r="BL314" s="158"/>
      <c r="BM314" s="158"/>
      <c r="BN314" s="158"/>
    </row>
    <row r="315" customFormat="false" ht="39.95" hidden="false" customHeight="true" outlineLevel="0" collapsed="false">
      <c r="A315" s="156" t="s">
        <v>1858</v>
      </c>
      <c r="B315" s="156"/>
      <c r="C315" s="156"/>
      <c r="D315" s="156"/>
      <c r="E315" s="156"/>
      <c r="F315" s="156"/>
      <c r="G315" s="114"/>
      <c r="H315" s="114"/>
      <c r="I315" s="114"/>
      <c r="J315" s="114"/>
      <c r="K315" s="158" t="n">
        <f aca="false">+G315*$Q$258</f>
        <v>0</v>
      </c>
      <c r="L315" s="158"/>
      <c r="M315" s="158"/>
      <c r="N315" s="158"/>
      <c r="O315" s="158"/>
      <c r="P315" s="158"/>
      <c r="Q315" s="158"/>
      <c r="R315" s="158"/>
      <c r="S315" s="114"/>
      <c r="T315" s="114"/>
      <c r="U315" s="114"/>
      <c r="V315" s="114"/>
      <c r="W315" s="158" t="n">
        <f aca="false">+S315*$W$258</f>
        <v>0</v>
      </c>
      <c r="X315" s="158"/>
      <c r="Y315" s="158"/>
      <c r="Z315" s="158"/>
      <c r="AA315" s="158"/>
      <c r="AB315" s="158"/>
      <c r="AC315" s="158"/>
      <c r="AD315" s="158"/>
      <c r="AE315" s="114"/>
      <c r="AF315" s="114"/>
      <c r="AG315" s="114"/>
      <c r="AH315" s="114"/>
      <c r="AI315" s="158" t="n">
        <f aca="false">+AE315*$AC$258</f>
        <v>0</v>
      </c>
      <c r="AJ315" s="158"/>
      <c r="AK315" s="158"/>
      <c r="AL315" s="158"/>
      <c r="AM315" s="158"/>
      <c r="AN315" s="158"/>
      <c r="AO315" s="158"/>
      <c r="AP315" s="158"/>
      <c r="AQ315" s="114"/>
      <c r="AR315" s="114"/>
      <c r="AS315" s="114"/>
      <c r="AT315" s="114"/>
      <c r="AU315" s="158" t="n">
        <f aca="false">+AQ315*$AI$258</f>
        <v>0</v>
      </c>
      <c r="AV315" s="158"/>
      <c r="AW315" s="158"/>
      <c r="AX315" s="158"/>
      <c r="AY315" s="158"/>
      <c r="AZ315" s="158"/>
      <c r="BA315" s="158"/>
      <c r="BB315" s="158"/>
      <c r="BC315" s="114"/>
      <c r="BD315" s="114"/>
      <c r="BE315" s="114"/>
      <c r="BF315" s="114"/>
      <c r="BG315" s="158" t="n">
        <f aca="false">+BC315*$AO$258</f>
        <v>0</v>
      </c>
      <c r="BH315" s="158"/>
      <c r="BI315" s="158"/>
      <c r="BJ315" s="158"/>
      <c r="BK315" s="158"/>
      <c r="BL315" s="158"/>
      <c r="BM315" s="158"/>
      <c r="BN315" s="158"/>
    </row>
    <row r="316" customFormat="false" ht="39.95" hidden="false" customHeight="true" outlineLevel="0" collapsed="false">
      <c r="A316" s="160" t="s">
        <v>1809</v>
      </c>
      <c r="B316" s="160"/>
      <c r="C316" s="160"/>
      <c r="D316" s="160"/>
      <c r="E316" s="160"/>
      <c r="F316" s="160"/>
      <c r="G316" s="161" t="n">
        <f aca="false">SUM(G304:J315)</f>
        <v>0</v>
      </c>
      <c r="H316" s="161"/>
      <c r="I316" s="161"/>
      <c r="J316" s="161"/>
      <c r="K316" s="162" t="n">
        <f aca="false">SUM(K304:R315)</f>
        <v>0</v>
      </c>
      <c r="L316" s="162"/>
      <c r="M316" s="162"/>
      <c r="N316" s="162"/>
      <c r="O316" s="162"/>
      <c r="P316" s="162"/>
      <c r="Q316" s="162"/>
      <c r="R316" s="162"/>
      <c r="S316" s="161" t="n">
        <f aca="false">SUM(S304:V315)</f>
        <v>0</v>
      </c>
      <c r="T316" s="161"/>
      <c r="U316" s="161"/>
      <c r="V316" s="161"/>
      <c r="W316" s="162" t="n">
        <f aca="false">SUM(W304:AD315)</f>
        <v>0</v>
      </c>
      <c r="X316" s="162"/>
      <c r="Y316" s="162"/>
      <c r="Z316" s="162"/>
      <c r="AA316" s="162"/>
      <c r="AB316" s="162"/>
      <c r="AC316" s="162"/>
      <c r="AD316" s="162"/>
      <c r="AE316" s="161" t="n">
        <f aca="false">SUM(AE304:AH315)</f>
        <v>0</v>
      </c>
      <c r="AF316" s="161"/>
      <c r="AG316" s="161"/>
      <c r="AH316" s="161"/>
      <c r="AI316" s="162" t="n">
        <f aca="false">SUM(AI304:AP315)</f>
        <v>0</v>
      </c>
      <c r="AJ316" s="162"/>
      <c r="AK316" s="162"/>
      <c r="AL316" s="162"/>
      <c r="AM316" s="162"/>
      <c r="AN316" s="162"/>
      <c r="AO316" s="162"/>
      <c r="AP316" s="162"/>
      <c r="AQ316" s="161" t="n">
        <f aca="false">SUM(AQ304:AT315)</f>
        <v>0</v>
      </c>
      <c r="AR316" s="161"/>
      <c r="AS316" s="161"/>
      <c r="AT316" s="161"/>
      <c r="AU316" s="162" t="n">
        <f aca="false">SUM(AU304:BB315)</f>
        <v>0</v>
      </c>
      <c r="AV316" s="162"/>
      <c r="AW316" s="162"/>
      <c r="AX316" s="162"/>
      <c r="AY316" s="162"/>
      <c r="AZ316" s="162"/>
      <c r="BA316" s="162"/>
      <c r="BB316" s="162"/>
      <c r="BC316" s="161" t="n">
        <f aca="false">SUM(BC304:BF315)</f>
        <v>0</v>
      </c>
      <c r="BD316" s="161"/>
      <c r="BE316" s="161"/>
      <c r="BF316" s="161"/>
      <c r="BG316" s="162" t="n">
        <f aca="false">SUM(BG304:BN315)</f>
        <v>0</v>
      </c>
      <c r="BH316" s="162"/>
      <c r="BI316" s="162"/>
      <c r="BJ316" s="162"/>
      <c r="BK316" s="162"/>
      <c r="BL316" s="162"/>
      <c r="BM316" s="162"/>
      <c r="BN316" s="162"/>
    </row>
    <row r="317" s="73" customFormat="true" ht="24" hidden="false" customHeight="true" outlineLevel="0" collapsed="false">
      <c r="A317" s="165"/>
      <c r="B317" s="165"/>
      <c r="C317" s="165"/>
      <c r="D317" s="165"/>
      <c r="E317" s="165"/>
      <c r="F317" s="165"/>
      <c r="G317" s="165"/>
      <c r="H317" s="165"/>
      <c r="I317" s="165"/>
      <c r="J317" s="165"/>
      <c r="K317" s="166"/>
      <c r="L317" s="165"/>
      <c r="M317" s="165"/>
      <c r="N317" s="165"/>
      <c r="O317" s="165"/>
      <c r="P317" s="165"/>
      <c r="Q317" s="165"/>
      <c r="R317" s="165"/>
      <c r="S317" s="165"/>
      <c r="T317" s="165"/>
      <c r="U317" s="165"/>
      <c r="V317" s="165"/>
      <c r="W317" s="166"/>
      <c r="X317" s="165"/>
      <c r="Y317" s="165"/>
      <c r="Z317" s="165"/>
      <c r="AA317" s="165"/>
      <c r="AB317" s="165"/>
      <c r="AC317" s="165"/>
      <c r="AD317" s="165"/>
      <c r="AE317" s="165"/>
      <c r="AF317" s="165"/>
      <c r="AG317" s="165"/>
      <c r="AH317" s="165"/>
      <c r="AI317" s="166"/>
      <c r="AJ317" s="165"/>
      <c r="AK317" s="165"/>
      <c r="AL317" s="165"/>
      <c r="AM317" s="165"/>
      <c r="AN317" s="165"/>
      <c r="AO317" s="165"/>
      <c r="AP317" s="165"/>
      <c r="AW317" s="74"/>
    </row>
    <row r="318" customFormat="false" ht="30" hidden="false" customHeight="true" outlineLevel="0" collapsed="false">
      <c r="A318" s="83" t="s">
        <v>1610</v>
      </c>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row>
    <row r="319" customFormat="false" ht="19.5" hidden="false" customHeight="true" outlineLevel="0" collapsed="false">
      <c r="A319" s="69" t="s">
        <v>1861</v>
      </c>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row>
    <row r="320" customFormat="false" ht="96" hidden="false" customHeight="true" outlineLevel="0" collapsed="false">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row>
    <row r="322" customFormat="false" ht="26.25" hidden="false" customHeight="true" outlineLevel="0" collapsed="false">
      <c r="A322" s="167" t="s">
        <v>1862</v>
      </c>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c r="AA322" s="167"/>
      <c r="AB322" s="167"/>
      <c r="AC322" s="167"/>
      <c r="AD322" s="167"/>
      <c r="AE322" s="167"/>
      <c r="AF322" s="167"/>
      <c r="AG322" s="167"/>
      <c r="AH322" s="167"/>
      <c r="AI322" s="167"/>
      <c r="AJ322" s="167"/>
      <c r="AK322" s="167"/>
      <c r="AL322" s="167"/>
      <c r="AM322" s="167"/>
      <c r="AN322" s="167"/>
    </row>
    <row r="323" customFormat="false" ht="41.45" hidden="false" customHeight="true" outlineLevel="0" collapsed="false">
      <c r="A323" s="79" t="s">
        <v>1747</v>
      </c>
      <c r="B323" s="79"/>
      <c r="C323" s="79"/>
      <c r="D323" s="79"/>
      <c r="E323" s="79"/>
      <c r="F323" s="79"/>
      <c r="G323" s="79"/>
      <c r="H323" s="79"/>
      <c r="I323" s="79"/>
      <c r="J323" s="79"/>
      <c r="K323" s="79"/>
      <c r="L323" s="79"/>
      <c r="M323" s="79"/>
      <c r="N323" s="79"/>
      <c r="O323" s="79"/>
      <c r="P323" s="79"/>
      <c r="Q323" s="79"/>
      <c r="R323" s="79"/>
      <c r="S323" s="79"/>
      <c r="T323" s="79" t="s">
        <v>1863</v>
      </c>
      <c r="U323" s="79"/>
      <c r="V323" s="79"/>
      <c r="W323" s="79"/>
      <c r="X323" s="79"/>
      <c r="Y323" s="79"/>
      <c r="Z323" s="79"/>
      <c r="AA323" s="168" t="s">
        <v>1864</v>
      </c>
      <c r="AB323" s="168"/>
      <c r="AC323" s="168"/>
      <c r="AD323" s="168"/>
      <c r="AE323" s="79" t="s">
        <v>1865</v>
      </c>
      <c r="AF323" s="79"/>
      <c r="AG323" s="79"/>
      <c r="AH323" s="79"/>
      <c r="AI323" s="79"/>
      <c r="AJ323" s="79"/>
      <c r="AK323" s="79"/>
      <c r="AL323" s="79"/>
      <c r="AM323" s="79"/>
      <c r="AN323" s="79"/>
    </row>
    <row r="324" customFormat="false" ht="39.95" hidden="false" customHeight="true" outlineLevel="0" collapsed="false">
      <c r="A324" s="169" t="s">
        <v>1866</v>
      </c>
      <c r="B324" s="169"/>
      <c r="C324" s="169"/>
      <c r="D324" s="169"/>
      <c r="E324" s="169"/>
      <c r="F324" s="169"/>
      <c r="G324" s="169"/>
      <c r="H324" s="169"/>
      <c r="I324" s="169"/>
      <c r="J324" s="169"/>
      <c r="K324" s="169"/>
      <c r="L324" s="169"/>
      <c r="M324" s="169"/>
      <c r="N324" s="169"/>
      <c r="O324" s="169"/>
      <c r="P324" s="169"/>
      <c r="Q324" s="169"/>
      <c r="R324" s="169"/>
      <c r="S324" s="169"/>
      <c r="T324" s="146" t="n">
        <v>150000</v>
      </c>
      <c r="U324" s="146"/>
      <c r="V324" s="146"/>
      <c r="W324" s="146"/>
      <c r="X324" s="146"/>
      <c r="Y324" s="146"/>
      <c r="Z324" s="146"/>
      <c r="AA324" s="114" t="n">
        <v>12</v>
      </c>
      <c r="AB324" s="114"/>
      <c r="AC324" s="114"/>
      <c r="AD324" s="114"/>
      <c r="AE324" s="158" t="n">
        <f aca="false">+T324*AA324</f>
        <v>1800000</v>
      </c>
      <c r="AF324" s="158"/>
      <c r="AG324" s="158"/>
      <c r="AH324" s="158"/>
      <c r="AI324" s="158"/>
      <c r="AJ324" s="158"/>
      <c r="AK324" s="158"/>
      <c r="AL324" s="158"/>
      <c r="AM324" s="158"/>
      <c r="AN324" s="158"/>
    </row>
    <row r="325" customFormat="false" ht="39.95" hidden="false" customHeight="true" outlineLevel="0" collapsed="false">
      <c r="A325" s="169" t="s">
        <v>1867</v>
      </c>
      <c r="B325" s="169"/>
      <c r="C325" s="169"/>
      <c r="D325" s="169"/>
      <c r="E325" s="169"/>
      <c r="F325" s="169"/>
      <c r="G325" s="169"/>
      <c r="H325" s="169"/>
      <c r="I325" s="169"/>
      <c r="J325" s="169"/>
      <c r="K325" s="169"/>
      <c r="L325" s="169"/>
      <c r="M325" s="169"/>
      <c r="N325" s="169"/>
      <c r="O325" s="169"/>
      <c r="P325" s="169"/>
      <c r="Q325" s="169"/>
      <c r="R325" s="169"/>
      <c r="S325" s="169"/>
      <c r="T325" s="146" t="n">
        <v>500000</v>
      </c>
      <c r="U325" s="146"/>
      <c r="V325" s="146"/>
      <c r="W325" s="146"/>
      <c r="X325" s="146"/>
      <c r="Y325" s="146"/>
      <c r="Z325" s="146"/>
      <c r="AA325" s="114" t="n">
        <v>12</v>
      </c>
      <c r="AB325" s="114"/>
      <c r="AC325" s="114"/>
      <c r="AD325" s="114"/>
      <c r="AE325" s="158" t="n">
        <f aca="false">+T325*AA325</f>
        <v>6000000</v>
      </c>
      <c r="AF325" s="158"/>
      <c r="AG325" s="158"/>
      <c r="AH325" s="158"/>
      <c r="AI325" s="158"/>
      <c r="AJ325" s="158"/>
      <c r="AK325" s="158"/>
      <c r="AL325" s="158"/>
      <c r="AM325" s="158"/>
      <c r="AN325" s="158"/>
    </row>
    <row r="326" customFormat="false" ht="39.95" hidden="false" customHeight="true" outlineLevel="0" collapsed="false">
      <c r="A326" s="169" t="s">
        <v>1868</v>
      </c>
      <c r="B326" s="169"/>
      <c r="C326" s="169"/>
      <c r="D326" s="169"/>
      <c r="E326" s="169"/>
      <c r="F326" s="169"/>
      <c r="G326" s="169"/>
      <c r="H326" s="169"/>
      <c r="I326" s="169"/>
      <c r="J326" s="169"/>
      <c r="K326" s="169"/>
      <c r="L326" s="169"/>
      <c r="M326" s="169"/>
      <c r="N326" s="169"/>
      <c r="O326" s="169"/>
      <c r="P326" s="169"/>
      <c r="Q326" s="169"/>
      <c r="R326" s="169"/>
      <c r="S326" s="169"/>
      <c r="T326" s="146" t="n">
        <v>150000</v>
      </c>
      <c r="U326" s="146"/>
      <c r="V326" s="146"/>
      <c r="W326" s="146"/>
      <c r="X326" s="146"/>
      <c r="Y326" s="146"/>
      <c r="Z326" s="146"/>
      <c r="AA326" s="114" t="n">
        <v>12</v>
      </c>
      <c r="AB326" s="114"/>
      <c r="AC326" s="114"/>
      <c r="AD326" s="114"/>
      <c r="AE326" s="158" t="n">
        <f aca="false">+T326*AA326</f>
        <v>1800000</v>
      </c>
      <c r="AF326" s="158"/>
      <c r="AG326" s="158"/>
      <c r="AH326" s="158"/>
      <c r="AI326" s="158"/>
      <c r="AJ326" s="158"/>
      <c r="AK326" s="158"/>
      <c r="AL326" s="158"/>
      <c r="AM326" s="158"/>
      <c r="AN326" s="158"/>
    </row>
    <row r="327" customFormat="false" ht="39.95" hidden="false" customHeight="true" outlineLevel="0" collapsed="false">
      <c r="A327" s="169"/>
      <c r="B327" s="169"/>
      <c r="C327" s="169"/>
      <c r="D327" s="169"/>
      <c r="E327" s="169"/>
      <c r="F327" s="169"/>
      <c r="G327" s="169"/>
      <c r="H327" s="169"/>
      <c r="I327" s="169"/>
      <c r="J327" s="169"/>
      <c r="K327" s="169"/>
      <c r="L327" s="169"/>
      <c r="M327" s="169"/>
      <c r="N327" s="169"/>
      <c r="O327" s="169"/>
      <c r="P327" s="169"/>
      <c r="Q327" s="169"/>
      <c r="R327" s="169"/>
      <c r="S327" s="169"/>
      <c r="T327" s="146"/>
      <c r="U327" s="146"/>
      <c r="V327" s="146"/>
      <c r="W327" s="146"/>
      <c r="X327" s="146"/>
      <c r="Y327" s="146"/>
      <c r="Z327" s="146"/>
      <c r="AA327" s="114"/>
      <c r="AB327" s="114"/>
      <c r="AC327" s="114"/>
      <c r="AD327" s="114"/>
      <c r="AE327" s="158" t="n">
        <f aca="false">+T327*AA327</f>
        <v>0</v>
      </c>
      <c r="AF327" s="158"/>
      <c r="AG327" s="158"/>
      <c r="AH327" s="158"/>
      <c r="AI327" s="158"/>
      <c r="AJ327" s="158"/>
      <c r="AK327" s="158"/>
      <c r="AL327" s="158"/>
      <c r="AM327" s="158"/>
      <c r="AN327" s="158"/>
    </row>
    <row r="328" customFormat="false" ht="39.95" hidden="false" customHeight="true" outlineLevel="0" collapsed="false">
      <c r="A328" s="169"/>
      <c r="B328" s="169"/>
      <c r="C328" s="169"/>
      <c r="D328" s="169"/>
      <c r="E328" s="169"/>
      <c r="F328" s="169"/>
      <c r="G328" s="169"/>
      <c r="H328" s="169"/>
      <c r="I328" s="169"/>
      <c r="J328" s="169"/>
      <c r="K328" s="169"/>
      <c r="L328" s="169"/>
      <c r="M328" s="169"/>
      <c r="N328" s="169"/>
      <c r="O328" s="169"/>
      <c r="P328" s="169"/>
      <c r="Q328" s="169"/>
      <c r="R328" s="169"/>
      <c r="S328" s="169"/>
      <c r="T328" s="146"/>
      <c r="U328" s="146"/>
      <c r="V328" s="146"/>
      <c r="W328" s="146"/>
      <c r="X328" s="146"/>
      <c r="Y328" s="146"/>
      <c r="Z328" s="146"/>
      <c r="AA328" s="114"/>
      <c r="AB328" s="114"/>
      <c r="AC328" s="114"/>
      <c r="AD328" s="114"/>
      <c r="AE328" s="158" t="n">
        <f aca="false">+T328*AA328</f>
        <v>0</v>
      </c>
      <c r="AF328" s="158"/>
      <c r="AG328" s="158"/>
      <c r="AH328" s="158"/>
      <c r="AI328" s="158"/>
      <c r="AJ328" s="158"/>
      <c r="AK328" s="158"/>
      <c r="AL328" s="158"/>
      <c r="AM328" s="158"/>
      <c r="AN328" s="158"/>
    </row>
    <row r="329" customFormat="false" ht="39.95" hidden="false" customHeight="true" outlineLevel="0" collapsed="false">
      <c r="A329" s="169"/>
      <c r="B329" s="169"/>
      <c r="C329" s="169"/>
      <c r="D329" s="169"/>
      <c r="E329" s="169"/>
      <c r="F329" s="169"/>
      <c r="G329" s="169"/>
      <c r="H329" s="169"/>
      <c r="I329" s="169"/>
      <c r="J329" s="169"/>
      <c r="K329" s="169"/>
      <c r="L329" s="169"/>
      <c r="M329" s="169"/>
      <c r="N329" s="169"/>
      <c r="O329" s="169"/>
      <c r="P329" s="169"/>
      <c r="Q329" s="169"/>
      <c r="R329" s="169"/>
      <c r="S329" s="169"/>
      <c r="T329" s="146"/>
      <c r="U329" s="146"/>
      <c r="V329" s="146"/>
      <c r="W329" s="146"/>
      <c r="X329" s="146"/>
      <c r="Y329" s="146"/>
      <c r="Z329" s="146"/>
      <c r="AA329" s="114"/>
      <c r="AB329" s="114"/>
      <c r="AC329" s="114"/>
      <c r="AD329" s="114"/>
      <c r="AE329" s="158" t="n">
        <f aca="false">+T329*AA329</f>
        <v>0</v>
      </c>
      <c r="AF329" s="158"/>
      <c r="AG329" s="158"/>
      <c r="AH329" s="158"/>
      <c r="AI329" s="158"/>
      <c r="AJ329" s="158"/>
      <c r="AK329" s="158"/>
      <c r="AL329" s="158"/>
      <c r="AM329" s="158"/>
      <c r="AN329" s="158"/>
    </row>
    <row r="330" customFormat="false" ht="39.95" hidden="false" customHeight="true" outlineLevel="0" collapsed="false">
      <c r="A330" s="169"/>
      <c r="B330" s="169"/>
      <c r="C330" s="169"/>
      <c r="D330" s="169"/>
      <c r="E330" s="169"/>
      <c r="F330" s="169"/>
      <c r="G330" s="169"/>
      <c r="H330" s="169"/>
      <c r="I330" s="169"/>
      <c r="J330" s="169"/>
      <c r="K330" s="169"/>
      <c r="L330" s="169"/>
      <c r="M330" s="169"/>
      <c r="N330" s="169"/>
      <c r="O330" s="169"/>
      <c r="P330" s="169"/>
      <c r="Q330" s="169"/>
      <c r="R330" s="169"/>
      <c r="S330" s="169"/>
      <c r="T330" s="146"/>
      <c r="U330" s="146"/>
      <c r="V330" s="146"/>
      <c r="W330" s="146"/>
      <c r="X330" s="146"/>
      <c r="Y330" s="146"/>
      <c r="Z330" s="146"/>
      <c r="AA330" s="114"/>
      <c r="AB330" s="114"/>
      <c r="AC330" s="114"/>
      <c r="AD330" s="114"/>
      <c r="AE330" s="158" t="n">
        <f aca="false">+T330*AA330</f>
        <v>0</v>
      </c>
      <c r="AF330" s="158"/>
      <c r="AG330" s="158"/>
      <c r="AH330" s="158"/>
      <c r="AI330" s="158"/>
      <c r="AJ330" s="158"/>
      <c r="AK330" s="158"/>
      <c r="AL330" s="158"/>
      <c r="AM330" s="158"/>
      <c r="AN330" s="158"/>
    </row>
    <row r="331" customFormat="false" ht="39.95" hidden="false" customHeight="true" outlineLevel="0" collapsed="false">
      <c r="A331" s="169"/>
      <c r="B331" s="169"/>
      <c r="C331" s="169"/>
      <c r="D331" s="169"/>
      <c r="E331" s="169"/>
      <c r="F331" s="169"/>
      <c r="G331" s="169"/>
      <c r="H331" s="169"/>
      <c r="I331" s="169"/>
      <c r="J331" s="169"/>
      <c r="K331" s="169"/>
      <c r="L331" s="169"/>
      <c r="M331" s="169"/>
      <c r="N331" s="169"/>
      <c r="O331" s="169"/>
      <c r="P331" s="169"/>
      <c r="Q331" s="169"/>
      <c r="R331" s="169"/>
      <c r="S331" s="169"/>
      <c r="T331" s="146"/>
      <c r="U331" s="146"/>
      <c r="V331" s="146"/>
      <c r="W331" s="146"/>
      <c r="X331" s="146"/>
      <c r="Y331" s="146"/>
      <c r="Z331" s="146"/>
      <c r="AA331" s="114"/>
      <c r="AB331" s="114"/>
      <c r="AC331" s="114"/>
      <c r="AD331" s="114"/>
      <c r="AE331" s="158" t="n">
        <f aca="false">+T331*AA331</f>
        <v>0</v>
      </c>
      <c r="AF331" s="158"/>
      <c r="AG331" s="158"/>
      <c r="AH331" s="158"/>
      <c r="AI331" s="158"/>
      <c r="AJ331" s="158"/>
      <c r="AK331" s="158"/>
      <c r="AL331" s="158"/>
      <c r="AM331" s="158"/>
      <c r="AN331" s="158"/>
    </row>
    <row r="332" customFormat="false" ht="45" hidden="false" customHeight="true" outlineLevel="0" collapsed="false">
      <c r="A332" s="170" t="s">
        <v>1809</v>
      </c>
      <c r="B332" s="170"/>
      <c r="C332" s="170"/>
      <c r="D332" s="170"/>
      <c r="E332" s="170"/>
      <c r="F332" s="170"/>
      <c r="G332" s="170"/>
      <c r="H332" s="170"/>
      <c r="I332" s="170"/>
      <c r="J332" s="170"/>
      <c r="K332" s="170"/>
      <c r="L332" s="170"/>
      <c r="M332" s="170"/>
      <c r="N332" s="170"/>
      <c r="O332" s="170"/>
      <c r="P332" s="170"/>
      <c r="Q332" s="170"/>
      <c r="R332" s="170"/>
      <c r="S332" s="170"/>
      <c r="T332" s="171" t="n">
        <f aca="false">+SUM(T324+T325+T326+T327+T328+T329+T330+T331)</f>
        <v>800000</v>
      </c>
      <c r="U332" s="171"/>
      <c r="V332" s="171"/>
      <c r="W332" s="171"/>
      <c r="X332" s="171"/>
      <c r="Y332" s="171"/>
      <c r="Z332" s="171"/>
      <c r="AA332" s="172"/>
      <c r="AB332" s="172"/>
      <c r="AC332" s="172"/>
      <c r="AD332" s="173"/>
      <c r="AE332" s="174" t="n">
        <f aca="false">+SUM(AE324:AN331)</f>
        <v>9600000</v>
      </c>
      <c r="AF332" s="174"/>
      <c r="AG332" s="174"/>
      <c r="AH332" s="174"/>
      <c r="AI332" s="174"/>
      <c r="AJ332" s="174"/>
      <c r="AK332" s="174"/>
      <c r="AL332" s="174"/>
      <c r="AM332" s="174"/>
      <c r="AN332" s="174"/>
    </row>
    <row r="334" customFormat="false" ht="120" hidden="false" customHeight="true" outlineLevel="0" collapsed="false">
      <c r="A334" s="62" t="s">
        <v>1869</v>
      </c>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row>
    <row r="335" customFormat="false" ht="14.25" hidden="false" customHeight="true" outlineLevel="0" collapsed="false">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row>
    <row r="336" customFormat="false" ht="14.25" hidden="false" customHeight="true" outlineLevel="0" collapsed="false">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row>
    <row r="337" customFormat="false" ht="14.25" hidden="false" customHeight="true" outlineLevel="0" collapsed="false">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row>
    <row r="338" customFormat="false" ht="14.25" hidden="false" customHeight="true" outlineLevel="0" collapsed="false">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row>
    <row r="339" customFormat="false" ht="14.25" hidden="false" customHeight="true" outlineLevel="0" collapsed="false">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row>
    <row r="340" customFormat="false" ht="26.25" hidden="false" customHeight="true" outlineLevel="0" collapsed="false">
      <c r="A340" s="175" t="s">
        <v>1870</v>
      </c>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6" t="str">
        <f aca="false">+M264</f>
        <v>Automatización Inteligente         </v>
      </c>
      <c r="AA340" s="176"/>
      <c r="AB340" s="176"/>
      <c r="AC340" s="176"/>
      <c r="AD340" s="176"/>
      <c r="AE340" s="176"/>
      <c r="AF340" s="176"/>
      <c r="AG340" s="176"/>
      <c r="AH340" s="176"/>
      <c r="AI340" s="176"/>
      <c r="AJ340" s="176"/>
      <c r="AK340" s="176"/>
      <c r="AL340" s="176"/>
      <c r="AM340" s="176"/>
      <c r="AN340" s="176"/>
    </row>
    <row r="341" customFormat="false" ht="48" hidden="false" customHeight="true" outlineLevel="0" collapsed="false">
      <c r="A341" s="156" t="s">
        <v>1871</v>
      </c>
      <c r="B341" s="156"/>
      <c r="C341" s="156"/>
      <c r="D341" s="156"/>
      <c r="E341" s="156"/>
      <c r="F341" s="156"/>
      <c r="G341" s="156"/>
      <c r="H341" s="156"/>
      <c r="I341" s="156"/>
      <c r="J341" s="156"/>
      <c r="K341" s="156" t="s">
        <v>1872</v>
      </c>
      <c r="L341" s="156"/>
      <c r="M341" s="156"/>
      <c r="N341" s="156"/>
      <c r="O341" s="156"/>
      <c r="P341" s="156"/>
      <c r="Q341" s="156"/>
      <c r="R341" s="156" t="s">
        <v>1873</v>
      </c>
      <c r="S341" s="156"/>
      <c r="T341" s="156"/>
      <c r="U341" s="156"/>
      <c r="V341" s="156"/>
      <c r="W341" s="156"/>
      <c r="X341" s="156"/>
      <c r="Y341" s="156"/>
      <c r="Z341" s="156"/>
      <c r="AA341" s="177" t="s">
        <v>1874</v>
      </c>
      <c r="AB341" s="177"/>
      <c r="AC341" s="177"/>
      <c r="AD341" s="177"/>
      <c r="AE341" s="156" t="s">
        <v>1875</v>
      </c>
      <c r="AF341" s="156"/>
      <c r="AG341" s="156"/>
      <c r="AH341" s="156"/>
      <c r="AI341" s="156"/>
      <c r="AJ341" s="156"/>
      <c r="AK341" s="156"/>
      <c r="AL341" s="156"/>
      <c r="AM341" s="156"/>
      <c r="AN341" s="156"/>
    </row>
    <row r="342" customFormat="false" ht="39.95" hidden="false" customHeight="true" outlineLevel="0" collapsed="false">
      <c r="A342" s="178" t="s">
        <v>1876</v>
      </c>
      <c r="B342" s="178"/>
      <c r="C342" s="178"/>
      <c r="D342" s="178"/>
      <c r="E342" s="178"/>
      <c r="F342" s="178"/>
      <c r="G342" s="178"/>
      <c r="H342" s="178"/>
      <c r="I342" s="178"/>
      <c r="J342" s="178"/>
      <c r="K342" s="179" t="s">
        <v>1877</v>
      </c>
      <c r="L342" s="179"/>
      <c r="M342" s="179"/>
      <c r="N342" s="179"/>
      <c r="O342" s="179"/>
      <c r="P342" s="179"/>
      <c r="Q342" s="179"/>
      <c r="R342" s="129" t="n">
        <v>500000</v>
      </c>
      <c r="S342" s="129"/>
      <c r="T342" s="129"/>
      <c r="U342" s="129"/>
      <c r="V342" s="129"/>
      <c r="W342" s="129"/>
      <c r="X342" s="129"/>
      <c r="Y342" s="129"/>
      <c r="Z342" s="129"/>
      <c r="AA342" s="130" t="n">
        <v>1</v>
      </c>
      <c r="AB342" s="130"/>
      <c r="AC342" s="130"/>
      <c r="AD342" s="130"/>
      <c r="AE342" s="158" t="n">
        <f aca="false">+R342*AA342</f>
        <v>500000</v>
      </c>
      <c r="AF342" s="158"/>
      <c r="AG342" s="158"/>
      <c r="AH342" s="158"/>
      <c r="AI342" s="158"/>
      <c r="AJ342" s="158"/>
      <c r="AK342" s="158"/>
      <c r="AL342" s="158"/>
      <c r="AM342" s="158"/>
      <c r="AN342" s="158"/>
    </row>
    <row r="343" customFormat="false" ht="39.95" hidden="false" customHeight="true" outlineLevel="0" collapsed="false">
      <c r="A343" s="178" t="s">
        <v>1878</v>
      </c>
      <c r="B343" s="178"/>
      <c r="C343" s="178"/>
      <c r="D343" s="178"/>
      <c r="E343" s="178"/>
      <c r="F343" s="178"/>
      <c r="G343" s="178"/>
      <c r="H343" s="178"/>
      <c r="I343" s="178"/>
      <c r="J343" s="178"/>
      <c r="K343" s="179" t="s">
        <v>1877</v>
      </c>
      <c r="L343" s="179"/>
      <c r="M343" s="179"/>
      <c r="N343" s="179"/>
      <c r="O343" s="179"/>
      <c r="P343" s="179"/>
      <c r="Q343" s="179"/>
      <c r="R343" s="129" t="n">
        <v>350000</v>
      </c>
      <c r="S343" s="129"/>
      <c r="T343" s="129"/>
      <c r="U343" s="129"/>
      <c r="V343" s="129"/>
      <c r="W343" s="129"/>
      <c r="X343" s="129"/>
      <c r="Y343" s="129"/>
      <c r="Z343" s="129"/>
      <c r="AA343" s="130" t="n">
        <v>1</v>
      </c>
      <c r="AB343" s="130"/>
      <c r="AC343" s="130"/>
      <c r="AD343" s="130"/>
      <c r="AE343" s="158" t="n">
        <f aca="false">+R343*AA343</f>
        <v>350000</v>
      </c>
      <c r="AF343" s="158"/>
      <c r="AG343" s="158"/>
      <c r="AH343" s="158"/>
      <c r="AI343" s="158"/>
      <c r="AJ343" s="158"/>
      <c r="AK343" s="158"/>
      <c r="AL343" s="158"/>
      <c r="AM343" s="158"/>
      <c r="AN343" s="158"/>
    </row>
    <row r="344" customFormat="false" ht="39.95" hidden="false" customHeight="true" outlineLevel="0" collapsed="false">
      <c r="A344" s="180"/>
      <c r="B344" s="180"/>
      <c r="C344" s="180"/>
      <c r="D344" s="180"/>
      <c r="E344" s="180"/>
      <c r="F344" s="180"/>
      <c r="G344" s="180"/>
      <c r="H344" s="180"/>
      <c r="I344" s="180"/>
      <c r="J344" s="180"/>
      <c r="K344" s="179"/>
      <c r="L344" s="179"/>
      <c r="M344" s="179"/>
      <c r="N344" s="179"/>
      <c r="O344" s="179"/>
      <c r="P344" s="179"/>
      <c r="Q344" s="179"/>
      <c r="R344" s="129"/>
      <c r="S344" s="129"/>
      <c r="T344" s="129"/>
      <c r="U344" s="129"/>
      <c r="V344" s="129"/>
      <c r="W344" s="129"/>
      <c r="X344" s="129"/>
      <c r="Y344" s="129"/>
      <c r="Z344" s="129"/>
      <c r="AA344" s="130"/>
      <c r="AB344" s="130"/>
      <c r="AC344" s="130"/>
      <c r="AD344" s="130"/>
      <c r="AE344" s="158" t="n">
        <f aca="false">+R344*AA344</f>
        <v>0</v>
      </c>
      <c r="AF344" s="158"/>
      <c r="AG344" s="158"/>
      <c r="AH344" s="158"/>
      <c r="AI344" s="158"/>
      <c r="AJ344" s="158"/>
      <c r="AK344" s="158"/>
      <c r="AL344" s="158"/>
      <c r="AM344" s="158"/>
      <c r="AN344" s="158"/>
    </row>
    <row r="345" customFormat="false" ht="39.95" hidden="false" customHeight="true" outlineLevel="0" collapsed="false">
      <c r="A345" s="178"/>
      <c r="B345" s="178"/>
      <c r="C345" s="178"/>
      <c r="D345" s="178"/>
      <c r="E345" s="178"/>
      <c r="F345" s="178"/>
      <c r="G345" s="178"/>
      <c r="H345" s="178"/>
      <c r="I345" s="178"/>
      <c r="J345" s="178"/>
      <c r="K345" s="179"/>
      <c r="L345" s="179"/>
      <c r="M345" s="179"/>
      <c r="N345" s="179"/>
      <c r="O345" s="179"/>
      <c r="P345" s="179"/>
      <c r="Q345" s="179"/>
      <c r="R345" s="129"/>
      <c r="S345" s="129"/>
      <c r="T345" s="129"/>
      <c r="U345" s="129"/>
      <c r="V345" s="129"/>
      <c r="W345" s="129"/>
      <c r="X345" s="129"/>
      <c r="Y345" s="129"/>
      <c r="Z345" s="129"/>
      <c r="AA345" s="130"/>
      <c r="AB345" s="130"/>
      <c r="AC345" s="130"/>
      <c r="AD345" s="130"/>
      <c r="AE345" s="158" t="n">
        <f aca="false">+R345*AA345</f>
        <v>0</v>
      </c>
      <c r="AF345" s="158"/>
      <c r="AG345" s="158"/>
      <c r="AH345" s="158"/>
      <c r="AI345" s="158"/>
      <c r="AJ345" s="158"/>
      <c r="AK345" s="158"/>
      <c r="AL345" s="158"/>
      <c r="AM345" s="158"/>
      <c r="AN345" s="158"/>
    </row>
    <row r="346" customFormat="false" ht="39.95" hidden="false" customHeight="true" outlineLevel="0" collapsed="false">
      <c r="A346" s="178"/>
      <c r="B346" s="178"/>
      <c r="C346" s="178"/>
      <c r="D346" s="178"/>
      <c r="E346" s="178"/>
      <c r="F346" s="178"/>
      <c r="G346" s="178"/>
      <c r="H346" s="178"/>
      <c r="I346" s="178"/>
      <c r="J346" s="178"/>
      <c r="K346" s="179"/>
      <c r="L346" s="179"/>
      <c r="M346" s="179"/>
      <c r="N346" s="179"/>
      <c r="O346" s="179"/>
      <c r="P346" s="179"/>
      <c r="Q346" s="179"/>
      <c r="R346" s="129"/>
      <c r="S346" s="129"/>
      <c r="T346" s="129"/>
      <c r="U346" s="129"/>
      <c r="V346" s="129"/>
      <c r="W346" s="129"/>
      <c r="X346" s="129"/>
      <c r="Y346" s="129"/>
      <c r="Z346" s="129"/>
      <c r="AA346" s="130"/>
      <c r="AB346" s="130"/>
      <c r="AC346" s="130"/>
      <c r="AD346" s="130"/>
      <c r="AE346" s="158" t="n">
        <f aca="false">+R346*AA346</f>
        <v>0</v>
      </c>
      <c r="AF346" s="158"/>
      <c r="AG346" s="158"/>
      <c r="AH346" s="158"/>
      <c r="AI346" s="158"/>
      <c r="AJ346" s="158"/>
      <c r="AK346" s="158"/>
      <c r="AL346" s="158"/>
      <c r="AM346" s="158"/>
      <c r="AN346" s="158"/>
    </row>
    <row r="347" customFormat="false" ht="45" hidden="false" customHeight="true" outlineLevel="0" collapsed="false">
      <c r="A347" s="79" t="s">
        <v>1809</v>
      </c>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181" t="n">
        <f aca="false">+SUM(AE342:AN346)</f>
        <v>850000</v>
      </c>
      <c r="AF347" s="181"/>
      <c r="AG347" s="181"/>
      <c r="AH347" s="181"/>
      <c r="AI347" s="181"/>
      <c r="AJ347" s="181"/>
      <c r="AK347" s="181"/>
      <c r="AL347" s="181"/>
      <c r="AM347" s="181"/>
      <c r="AN347" s="181"/>
    </row>
    <row r="348" customFormat="false" ht="14.25" hidden="false" customHeight="true" outlineLevel="0" collapsed="false"/>
    <row r="349" customFormat="false" ht="26.25" hidden="false" customHeight="true" outlineLevel="0" collapsed="false">
      <c r="A349" s="175" t="s">
        <v>1879</v>
      </c>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6" t="n">
        <f aca="false">+M282</f>
        <v>0</v>
      </c>
      <c r="AA349" s="176"/>
      <c r="AB349" s="176"/>
      <c r="AC349" s="176"/>
      <c r="AD349" s="176"/>
      <c r="AE349" s="176"/>
      <c r="AF349" s="176"/>
      <c r="AG349" s="176"/>
      <c r="AH349" s="176"/>
      <c r="AI349" s="176"/>
      <c r="AJ349" s="176"/>
      <c r="AK349" s="176"/>
      <c r="AL349" s="176"/>
      <c r="AM349" s="176"/>
      <c r="AN349" s="176"/>
    </row>
    <row r="350" customFormat="false" ht="49.5" hidden="false" customHeight="true" outlineLevel="0" collapsed="false">
      <c r="A350" s="156" t="s">
        <v>1871</v>
      </c>
      <c r="B350" s="156"/>
      <c r="C350" s="156"/>
      <c r="D350" s="156"/>
      <c r="E350" s="156"/>
      <c r="F350" s="156"/>
      <c r="G350" s="156"/>
      <c r="H350" s="156"/>
      <c r="I350" s="156"/>
      <c r="J350" s="156"/>
      <c r="K350" s="156" t="s">
        <v>1872</v>
      </c>
      <c r="L350" s="156"/>
      <c r="M350" s="156"/>
      <c r="N350" s="156"/>
      <c r="O350" s="156"/>
      <c r="P350" s="156"/>
      <c r="Q350" s="156"/>
      <c r="R350" s="156" t="s">
        <v>1873</v>
      </c>
      <c r="S350" s="156"/>
      <c r="T350" s="156"/>
      <c r="U350" s="156"/>
      <c r="V350" s="156"/>
      <c r="W350" s="156"/>
      <c r="X350" s="156"/>
      <c r="Y350" s="156"/>
      <c r="Z350" s="156"/>
      <c r="AA350" s="177" t="s">
        <v>1874</v>
      </c>
      <c r="AB350" s="177"/>
      <c r="AC350" s="177"/>
      <c r="AD350" s="177"/>
      <c r="AE350" s="156" t="s">
        <v>1875</v>
      </c>
      <c r="AF350" s="156"/>
      <c r="AG350" s="156"/>
      <c r="AH350" s="156"/>
      <c r="AI350" s="156"/>
      <c r="AJ350" s="156"/>
      <c r="AK350" s="156"/>
      <c r="AL350" s="156"/>
      <c r="AM350" s="156"/>
      <c r="AN350" s="156"/>
    </row>
    <row r="351" customFormat="false" ht="39.95" hidden="false" customHeight="true" outlineLevel="0" collapsed="false">
      <c r="A351" s="178"/>
      <c r="B351" s="178"/>
      <c r="C351" s="178"/>
      <c r="D351" s="178"/>
      <c r="E351" s="178"/>
      <c r="F351" s="178"/>
      <c r="G351" s="178"/>
      <c r="H351" s="178"/>
      <c r="I351" s="178"/>
      <c r="J351" s="178"/>
      <c r="K351" s="179"/>
      <c r="L351" s="179"/>
      <c r="M351" s="179"/>
      <c r="N351" s="179"/>
      <c r="O351" s="179"/>
      <c r="P351" s="179"/>
      <c r="Q351" s="179"/>
      <c r="R351" s="129"/>
      <c r="S351" s="129"/>
      <c r="T351" s="129"/>
      <c r="U351" s="129"/>
      <c r="V351" s="129"/>
      <c r="W351" s="129"/>
      <c r="X351" s="129"/>
      <c r="Y351" s="129"/>
      <c r="Z351" s="129"/>
      <c r="AA351" s="130"/>
      <c r="AB351" s="130"/>
      <c r="AC351" s="130"/>
      <c r="AD351" s="130"/>
      <c r="AE351" s="158" t="n">
        <f aca="false">+R351*AA351</f>
        <v>0</v>
      </c>
      <c r="AF351" s="158"/>
      <c r="AG351" s="158"/>
      <c r="AH351" s="158"/>
      <c r="AI351" s="158"/>
      <c r="AJ351" s="158"/>
      <c r="AK351" s="158"/>
      <c r="AL351" s="158"/>
      <c r="AM351" s="158"/>
      <c r="AN351" s="158"/>
    </row>
    <row r="352" customFormat="false" ht="39.95" hidden="false" customHeight="true" outlineLevel="0" collapsed="false">
      <c r="A352" s="178"/>
      <c r="B352" s="178"/>
      <c r="C352" s="178"/>
      <c r="D352" s="178"/>
      <c r="E352" s="178"/>
      <c r="F352" s="178"/>
      <c r="G352" s="178"/>
      <c r="H352" s="178"/>
      <c r="I352" s="178"/>
      <c r="J352" s="178"/>
      <c r="K352" s="179"/>
      <c r="L352" s="179"/>
      <c r="M352" s="179"/>
      <c r="N352" s="179"/>
      <c r="O352" s="179"/>
      <c r="P352" s="179"/>
      <c r="Q352" s="179"/>
      <c r="R352" s="129"/>
      <c r="S352" s="129"/>
      <c r="T352" s="129"/>
      <c r="U352" s="129"/>
      <c r="V352" s="129"/>
      <c r="W352" s="129"/>
      <c r="X352" s="129"/>
      <c r="Y352" s="129"/>
      <c r="Z352" s="129"/>
      <c r="AA352" s="130"/>
      <c r="AB352" s="130"/>
      <c r="AC352" s="130"/>
      <c r="AD352" s="130"/>
      <c r="AE352" s="158" t="n">
        <f aca="false">+R352*AA352</f>
        <v>0</v>
      </c>
      <c r="AF352" s="158"/>
      <c r="AG352" s="158"/>
      <c r="AH352" s="158"/>
      <c r="AI352" s="158"/>
      <c r="AJ352" s="158"/>
      <c r="AK352" s="158"/>
      <c r="AL352" s="158"/>
      <c r="AM352" s="158"/>
      <c r="AN352" s="158"/>
    </row>
    <row r="353" customFormat="false" ht="39.95" hidden="false" customHeight="true" outlineLevel="0" collapsed="false">
      <c r="A353" s="180"/>
      <c r="B353" s="180"/>
      <c r="C353" s="180"/>
      <c r="D353" s="180"/>
      <c r="E353" s="180"/>
      <c r="F353" s="180"/>
      <c r="G353" s="180"/>
      <c r="H353" s="180"/>
      <c r="I353" s="180"/>
      <c r="J353" s="180"/>
      <c r="K353" s="179"/>
      <c r="L353" s="179"/>
      <c r="M353" s="179"/>
      <c r="N353" s="179"/>
      <c r="O353" s="179"/>
      <c r="P353" s="179"/>
      <c r="Q353" s="179"/>
      <c r="R353" s="129"/>
      <c r="S353" s="129"/>
      <c r="T353" s="129"/>
      <c r="U353" s="129"/>
      <c r="V353" s="129"/>
      <c r="W353" s="129"/>
      <c r="X353" s="129"/>
      <c r="Y353" s="129"/>
      <c r="Z353" s="129"/>
      <c r="AA353" s="130"/>
      <c r="AB353" s="130"/>
      <c r="AC353" s="130"/>
      <c r="AD353" s="130"/>
      <c r="AE353" s="158" t="n">
        <f aca="false">+R353*AA353</f>
        <v>0</v>
      </c>
      <c r="AF353" s="158"/>
      <c r="AG353" s="158"/>
      <c r="AH353" s="158"/>
      <c r="AI353" s="158"/>
      <c r="AJ353" s="158"/>
      <c r="AK353" s="158"/>
      <c r="AL353" s="158"/>
      <c r="AM353" s="158"/>
      <c r="AN353" s="158"/>
    </row>
    <row r="354" customFormat="false" ht="39.95" hidden="false" customHeight="true" outlineLevel="0" collapsed="false">
      <c r="A354" s="178"/>
      <c r="B354" s="178"/>
      <c r="C354" s="178"/>
      <c r="D354" s="178"/>
      <c r="E354" s="178"/>
      <c r="F354" s="178"/>
      <c r="G354" s="178"/>
      <c r="H354" s="178"/>
      <c r="I354" s="178"/>
      <c r="J354" s="178"/>
      <c r="K354" s="179"/>
      <c r="L354" s="179"/>
      <c r="M354" s="179"/>
      <c r="N354" s="179"/>
      <c r="O354" s="179"/>
      <c r="P354" s="179"/>
      <c r="Q354" s="179"/>
      <c r="R354" s="129"/>
      <c r="S354" s="129"/>
      <c r="T354" s="129"/>
      <c r="U354" s="129"/>
      <c r="V354" s="129"/>
      <c r="W354" s="129"/>
      <c r="X354" s="129"/>
      <c r="Y354" s="129"/>
      <c r="Z354" s="129"/>
      <c r="AA354" s="130"/>
      <c r="AB354" s="130"/>
      <c r="AC354" s="130"/>
      <c r="AD354" s="130"/>
      <c r="AE354" s="158" t="n">
        <f aca="false">+R354*AA354</f>
        <v>0</v>
      </c>
      <c r="AF354" s="158"/>
      <c r="AG354" s="158"/>
      <c r="AH354" s="158"/>
      <c r="AI354" s="158"/>
      <c r="AJ354" s="158"/>
      <c r="AK354" s="158"/>
      <c r="AL354" s="158"/>
      <c r="AM354" s="158"/>
      <c r="AN354" s="158"/>
    </row>
    <row r="355" customFormat="false" ht="39.95" hidden="false" customHeight="true" outlineLevel="0" collapsed="false">
      <c r="A355" s="178"/>
      <c r="B355" s="178"/>
      <c r="C355" s="178"/>
      <c r="D355" s="178"/>
      <c r="E355" s="178"/>
      <c r="F355" s="178"/>
      <c r="G355" s="178"/>
      <c r="H355" s="178"/>
      <c r="I355" s="178"/>
      <c r="J355" s="178"/>
      <c r="K355" s="179"/>
      <c r="L355" s="179"/>
      <c r="M355" s="179"/>
      <c r="N355" s="179"/>
      <c r="O355" s="179"/>
      <c r="P355" s="179"/>
      <c r="Q355" s="179"/>
      <c r="R355" s="129"/>
      <c r="S355" s="129"/>
      <c r="T355" s="129"/>
      <c r="U355" s="129"/>
      <c r="V355" s="129"/>
      <c r="W355" s="129"/>
      <c r="X355" s="129"/>
      <c r="Y355" s="129"/>
      <c r="Z355" s="129"/>
      <c r="AA355" s="130"/>
      <c r="AB355" s="130"/>
      <c r="AC355" s="130"/>
      <c r="AD355" s="130"/>
      <c r="AE355" s="158" t="n">
        <f aca="false">+R355*AA355</f>
        <v>0</v>
      </c>
      <c r="AF355" s="158"/>
      <c r="AG355" s="158"/>
      <c r="AH355" s="158"/>
      <c r="AI355" s="158"/>
      <c r="AJ355" s="158"/>
      <c r="AK355" s="158"/>
      <c r="AL355" s="158"/>
      <c r="AM355" s="158"/>
      <c r="AN355" s="158"/>
    </row>
    <row r="356" customFormat="false" ht="45" hidden="false" customHeight="true" outlineLevel="0" collapsed="false">
      <c r="A356" s="156" t="s">
        <v>1809</v>
      </c>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c r="AC356" s="156"/>
      <c r="AD356" s="156"/>
      <c r="AE356" s="181" t="n">
        <f aca="false">+SUM(AE351:AN355)</f>
        <v>0</v>
      </c>
      <c r="AF356" s="181"/>
      <c r="AG356" s="181"/>
      <c r="AH356" s="181"/>
      <c r="AI356" s="181"/>
      <c r="AJ356" s="181"/>
      <c r="AK356" s="181"/>
      <c r="AL356" s="181"/>
      <c r="AM356" s="181"/>
      <c r="AN356" s="181"/>
    </row>
    <row r="357" customFormat="false" ht="14.25" hidden="false" customHeight="true" outlineLevel="0" collapsed="false"/>
    <row r="358" customFormat="false" ht="26.25" hidden="false" customHeight="true" outlineLevel="0" collapsed="false">
      <c r="A358" s="175" t="s">
        <v>1880</v>
      </c>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6" t="n">
        <f aca="false">+M300</f>
        <v>0</v>
      </c>
      <c r="AA358" s="176"/>
      <c r="AB358" s="176"/>
      <c r="AC358" s="176"/>
      <c r="AD358" s="176"/>
      <c r="AE358" s="176"/>
      <c r="AF358" s="176"/>
      <c r="AG358" s="176"/>
      <c r="AH358" s="176"/>
      <c r="AI358" s="176"/>
      <c r="AJ358" s="176"/>
      <c r="AK358" s="176"/>
      <c r="AL358" s="176"/>
      <c r="AM358" s="176"/>
      <c r="AN358" s="176"/>
    </row>
    <row r="359" customFormat="false" ht="56.25" hidden="false" customHeight="true" outlineLevel="0" collapsed="false">
      <c r="A359" s="156" t="s">
        <v>1871</v>
      </c>
      <c r="B359" s="156"/>
      <c r="C359" s="156"/>
      <c r="D359" s="156"/>
      <c r="E359" s="156"/>
      <c r="F359" s="156"/>
      <c r="G359" s="156"/>
      <c r="H359" s="156"/>
      <c r="I359" s="156"/>
      <c r="J359" s="156"/>
      <c r="K359" s="156" t="s">
        <v>1872</v>
      </c>
      <c r="L359" s="156"/>
      <c r="M359" s="156"/>
      <c r="N359" s="156"/>
      <c r="O359" s="156"/>
      <c r="P359" s="156"/>
      <c r="Q359" s="156"/>
      <c r="R359" s="156" t="s">
        <v>1881</v>
      </c>
      <c r="S359" s="156"/>
      <c r="T359" s="156"/>
      <c r="U359" s="156"/>
      <c r="V359" s="156"/>
      <c r="W359" s="156"/>
      <c r="X359" s="156"/>
      <c r="Y359" s="156"/>
      <c r="Z359" s="156"/>
      <c r="AA359" s="177" t="s">
        <v>1874</v>
      </c>
      <c r="AB359" s="177"/>
      <c r="AC359" s="177"/>
      <c r="AD359" s="177"/>
      <c r="AE359" s="156" t="s">
        <v>1882</v>
      </c>
      <c r="AF359" s="156"/>
      <c r="AG359" s="156"/>
      <c r="AH359" s="156"/>
      <c r="AI359" s="156"/>
      <c r="AJ359" s="156"/>
      <c r="AK359" s="156"/>
      <c r="AL359" s="156"/>
      <c r="AM359" s="156"/>
      <c r="AN359" s="156"/>
    </row>
    <row r="360" customFormat="false" ht="39.95" hidden="false" customHeight="true" outlineLevel="0" collapsed="false">
      <c r="A360" s="178"/>
      <c r="B360" s="178"/>
      <c r="C360" s="178"/>
      <c r="D360" s="178"/>
      <c r="E360" s="178"/>
      <c r="F360" s="178"/>
      <c r="G360" s="178"/>
      <c r="H360" s="178"/>
      <c r="I360" s="178"/>
      <c r="J360" s="178"/>
      <c r="K360" s="179"/>
      <c r="L360" s="179"/>
      <c r="M360" s="179"/>
      <c r="N360" s="179"/>
      <c r="O360" s="179"/>
      <c r="P360" s="179"/>
      <c r="Q360" s="179"/>
      <c r="R360" s="129"/>
      <c r="S360" s="129"/>
      <c r="T360" s="129"/>
      <c r="U360" s="129"/>
      <c r="V360" s="129"/>
      <c r="W360" s="129"/>
      <c r="X360" s="129"/>
      <c r="Y360" s="129"/>
      <c r="Z360" s="129"/>
      <c r="AA360" s="130"/>
      <c r="AB360" s="130"/>
      <c r="AC360" s="130"/>
      <c r="AD360" s="130"/>
      <c r="AE360" s="158" t="n">
        <f aca="false">+R360*AA360</f>
        <v>0</v>
      </c>
      <c r="AF360" s="158"/>
      <c r="AG360" s="158"/>
      <c r="AH360" s="158"/>
      <c r="AI360" s="158"/>
      <c r="AJ360" s="158"/>
      <c r="AK360" s="158"/>
      <c r="AL360" s="158"/>
      <c r="AM360" s="158"/>
      <c r="AN360" s="158"/>
    </row>
    <row r="361" customFormat="false" ht="39.95" hidden="false" customHeight="true" outlineLevel="0" collapsed="false">
      <c r="A361" s="178"/>
      <c r="B361" s="178"/>
      <c r="C361" s="178"/>
      <c r="D361" s="178"/>
      <c r="E361" s="178"/>
      <c r="F361" s="178"/>
      <c r="G361" s="178"/>
      <c r="H361" s="178"/>
      <c r="I361" s="178"/>
      <c r="J361" s="178"/>
      <c r="K361" s="179"/>
      <c r="L361" s="179"/>
      <c r="M361" s="179"/>
      <c r="N361" s="179"/>
      <c r="O361" s="179"/>
      <c r="P361" s="179"/>
      <c r="Q361" s="179"/>
      <c r="R361" s="129"/>
      <c r="S361" s="129"/>
      <c r="T361" s="129"/>
      <c r="U361" s="129"/>
      <c r="V361" s="129"/>
      <c r="W361" s="129"/>
      <c r="X361" s="129"/>
      <c r="Y361" s="129"/>
      <c r="Z361" s="129"/>
      <c r="AA361" s="130"/>
      <c r="AB361" s="130"/>
      <c r="AC361" s="130"/>
      <c r="AD361" s="130"/>
      <c r="AE361" s="158" t="n">
        <f aca="false">+R361*AA361</f>
        <v>0</v>
      </c>
      <c r="AF361" s="158"/>
      <c r="AG361" s="158"/>
      <c r="AH361" s="158"/>
      <c r="AI361" s="158"/>
      <c r="AJ361" s="158"/>
      <c r="AK361" s="158"/>
      <c r="AL361" s="158"/>
      <c r="AM361" s="158"/>
      <c r="AN361" s="158"/>
    </row>
    <row r="362" customFormat="false" ht="39.95" hidden="false" customHeight="true" outlineLevel="0" collapsed="false">
      <c r="A362" s="180"/>
      <c r="B362" s="180"/>
      <c r="C362" s="180"/>
      <c r="D362" s="180"/>
      <c r="E362" s="180"/>
      <c r="F362" s="180"/>
      <c r="G362" s="180"/>
      <c r="H362" s="180"/>
      <c r="I362" s="180"/>
      <c r="J362" s="180"/>
      <c r="K362" s="179"/>
      <c r="L362" s="179"/>
      <c r="M362" s="179"/>
      <c r="N362" s="179"/>
      <c r="O362" s="179"/>
      <c r="P362" s="179"/>
      <c r="Q362" s="179"/>
      <c r="R362" s="129"/>
      <c r="S362" s="129"/>
      <c r="T362" s="129"/>
      <c r="U362" s="129"/>
      <c r="V362" s="129"/>
      <c r="W362" s="129"/>
      <c r="X362" s="129"/>
      <c r="Y362" s="129"/>
      <c r="Z362" s="129"/>
      <c r="AA362" s="130"/>
      <c r="AB362" s="130"/>
      <c r="AC362" s="130"/>
      <c r="AD362" s="130"/>
      <c r="AE362" s="158" t="n">
        <f aca="false">+R362*AA362</f>
        <v>0</v>
      </c>
      <c r="AF362" s="158"/>
      <c r="AG362" s="158"/>
      <c r="AH362" s="158"/>
      <c r="AI362" s="158"/>
      <c r="AJ362" s="158"/>
      <c r="AK362" s="158"/>
      <c r="AL362" s="158"/>
      <c r="AM362" s="158"/>
      <c r="AN362" s="158"/>
    </row>
    <row r="363" customFormat="false" ht="39.95" hidden="false" customHeight="true" outlineLevel="0" collapsed="false">
      <c r="A363" s="178"/>
      <c r="B363" s="178"/>
      <c r="C363" s="178"/>
      <c r="D363" s="178"/>
      <c r="E363" s="178"/>
      <c r="F363" s="178"/>
      <c r="G363" s="178"/>
      <c r="H363" s="178"/>
      <c r="I363" s="178"/>
      <c r="J363" s="178"/>
      <c r="K363" s="179"/>
      <c r="L363" s="179"/>
      <c r="M363" s="179"/>
      <c r="N363" s="179"/>
      <c r="O363" s="179"/>
      <c r="P363" s="179"/>
      <c r="Q363" s="179"/>
      <c r="R363" s="129"/>
      <c r="S363" s="129"/>
      <c r="T363" s="129"/>
      <c r="U363" s="129"/>
      <c r="V363" s="129"/>
      <c r="W363" s="129"/>
      <c r="X363" s="129"/>
      <c r="Y363" s="129"/>
      <c r="Z363" s="129"/>
      <c r="AA363" s="130"/>
      <c r="AB363" s="130"/>
      <c r="AC363" s="130"/>
      <c r="AD363" s="130"/>
      <c r="AE363" s="158" t="n">
        <f aca="false">+R363*AA363</f>
        <v>0</v>
      </c>
      <c r="AF363" s="158"/>
      <c r="AG363" s="158"/>
      <c r="AH363" s="158"/>
      <c r="AI363" s="158"/>
      <c r="AJ363" s="158"/>
      <c r="AK363" s="158"/>
      <c r="AL363" s="158"/>
      <c r="AM363" s="158"/>
      <c r="AN363" s="158"/>
    </row>
    <row r="364" customFormat="false" ht="39.95" hidden="false" customHeight="true" outlineLevel="0" collapsed="false">
      <c r="A364" s="178"/>
      <c r="B364" s="178"/>
      <c r="C364" s="178"/>
      <c r="D364" s="178"/>
      <c r="E364" s="178"/>
      <c r="F364" s="178"/>
      <c r="G364" s="178"/>
      <c r="H364" s="178"/>
      <c r="I364" s="178"/>
      <c r="J364" s="178"/>
      <c r="K364" s="179"/>
      <c r="L364" s="179"/>
      <c r="M364" s="179"/>
      <c r="N364" s="179"/>
      <c r="O364" s="179"/>
      <c r="P364" s="179"/>
      <c r="Q364" s="179"/>
      <c r="R364" s="129"/>
      <c r="S364" s="129"/>
      <c r="T364" s="129"/>
      <c r="U364" s="129"/>
      <c r="V364" s="129"/>
      <c r="W364" s="129"/>
      <c r="X364" s="129"/>
      <c r="Y364" s="129"/>
      <c r="Z364" s="129"/>
      <c r="AA364" s="130"/>
      <c r="AB364" s="130"/>
      <c r="AC364" s="130"/>
      <c r="AD364" s="130"/>
      <c r="AE364" s="158" t="n">
        <f aca="false">+R364*AA364</f>
        <v>0</v>
      </c>
      <c r="AF364" s="158"/>
      <c r="AG364" s="158"/>
      <c r="AH364" s="158"/>
      <c r="AI364" s="158"/>
      <c r="AJ364" s="158"/>
      <c r="AK364" s="158"/>
      <c r="AL364" s="158"/>
      <c r="AM364" s="158"/>
      <c r="AN364" s="158"/>
    </row>
    <row r="365" customFormat="false" ht="45" hidden="false" customHeight="true" outlineLevel="0" collapsed="false">
      <c r="A365" s="79" t="s">
        <v>1809</v>
      </c>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181" t="n">
        <f aca="false">+SUM(AE360:AN364)</f>
        <v>0</v>
      </c>
      <c r="AF365" s="181"/>
      <c r="AG365" s="181"/>
      <c r="AH365" s="181"/>
      <c r="AI365" s="181"/>
      <c r="AJ365" s="181"/>
      <c r="AK365" s="181"/>
      <c r="AL365" s="181"/>
      <c r="AM365" s="181"/>
      <c r="AN365" s="181"/>
    </row>
    <row r="366" customFormat="false" ht="14.25" hidden="false" customHeight="true" outlineLevel="0" collapsed="false"/>
    <row r="367" customFormat="false" ht="43.5" hidden="false" customHeight="true" outlineLevel="0" collapsed="false">
      <c r="A367" s="62" t="s">
        <v>1883</v>
      </c>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row>
    <row r="368" customFormat="false" ht="14.25" hidden="false" customHeight="true" outlineLevel="0" collapsed="false"/>
    <row r="369" customFormat="false" ht="39.95" hidden="false" customHeight="true" outlineLevel="0" collapsed="false">
      <c r="A369" s="182" t="s">
        <v>1884</v>
      </c>
      <c r="B369" s="182"/>
      <c r="C369" s="182"/>
      <c r="D369" s="182"/>
      <c r="E369" s="182"/>
      <c r="F369" s="182"/>
      <c r="G369" s="182"/>
      <c r="H369" s="182"/>
      <c r="I369" s="182"/>
      <c r="J369" s="182"/>
      <c r="K369" s="182"/>
      <c r="L369" s="182"/>
      <c r="M369" s="183" t="str">
        <f aca="false">+A256</f>
        <v>Automatización Inteligente         </v>
      </c>
      <c r="N369" s="183"/>
      <c r="O369" s="183"/>
      <c r="P369" s="183"/>
      <c r="Q369" s="183"/>
      <c r="R369" s="183"/>
      <c r="S369" s="183"/>
      <c r="T369" s="183"/>
      <c r="U369" s="183"/>
      <c r="V369" s="183"/>
      <c r="W369" s="183" t="n">
        <f aca="false">+M282</f>
        <v>0</v>
      </c>
      <c r="X369" s="183"/>
      <c r="Y369" s="183"/>
      <c r="Z369" s="183"/>
      <c r="AA369" s="183"/>
      <c r="AB369" s="183"/>
      <c r="AC369" s="183"/>
      <c r="AD369" s="183"/>
      <c r="AE369" s="183"/>
      <c r="AF369" s="183"/>
      <c r="AG369" s="183" t="n">
        <f aca="false">+A258</f>
        <v>0</v>
      </c>
      <c r="AH369" s="183"/>
      <c r="AI369" s="183"/>
      <c r="AJ369" s="183"/>
      <c r="AK369" s="183"/>
      <c r="AL369" s="183"/>
      <c r="AM369" s="183"/>
      <c r="AN369" s="183"/>
      <c r="AO369" s="183"/>
      <c r="AP369" s="183"/>
    </row>
    <row r="370" customFormat="false" ht="39.95" hidden="false" customHeight="true" outlineLevel="0" collapsed="false">
      <c r="A370" s="182" t="s">
        <v>1885</v>
      </c>
      <c r="B370" s="182"/>
      <c r="C370" s="182"/>
      <c r="D370" s="182"/>
      <c r="E370" s="182"/>
      <c r="F370" s="182"/>
      <c r="G370" s="182"/>
      <c r="H370" s="182"/>
      <c r="I370" s="182"/>
      <c r="J370" s="182"/>
      <c r="K370" s="182"/>
      <c r="L370" s="182"/>
      <c r="M370" s="158" t="n">
        <f aca="false">+Q256</f>
        <v>3500000</v>
      </c>
      <c r="N370" s="158"/>
      <c r="O370" s="158"/>
      <c r="P370" s="158"/>
      <c r="Q370" s="158"/>
      <c r="R370" s="158"/>
      <c r="S370" s="158"/>
      <c r="T370" s="158"/>
      <c r="U370" s="158"/>
      <c r="V370" s="158"/>
      <c r="W370" s="158" t="n">
        <f aca="false">+Q257</f>
        <v>0</v>
      </c>
      <c r="X370" s="158"/>
      <c r="Y370" s="158"/>
      <c r="Z370" s="158"/>
      <c r="AA370" s="158"/>
      <c r="AB370" s="158"/>
      <c r="AC370" s="158"/>
      <c r="AD370" s="158"/>
      <c r="AE370" s="158"/>
      <c r="AF370" s="158"/>
      <c r="AG370" s="158" t="n">
        <f aca="false">+Q258</f>
        <v>0</v>
      </c>
      <c r="AH370" s="158"/>
      <c r="AI370" s="158"/>
      <c r="AJ370" s="158"/>
      <c r="AK370" s="158"/>
      <c r="AL370" s="158"/>
      <c r="AM370" s="158"/>
      <c r="AN370" s="158"/>
      <c r="AO370" s="158"/>
      <c r="AP370" s="158"/>
    </row>
    <row r="371" customFormat="false" ht="39.95" hidden="false" customHeight="true" outlineLevel="0" collapsed="false">
      <c r="A371" s="182" t="s">
        <v>1886</v>
      </c>
      <c r="B371" s="182"/>
      <c r="C371" s="182"/>
      <c r="D371" s="182"/>
      <c r="E371" s="182"/>
      <c r="F371" s="182"/>
      <c r="G371" s="182"/>
      <c r="H371" s="182"/>
      <c r="I371" s="182"/>
      <c r="J371" s="182"/>
      <c r="K371" s="182"/>
      <c r="L371" s="182"/>
      <c r="M371" s="158" t="n">
        <f aca="false">+AE347</f>
        <v>850000</v>
      </c>
      <c r="N371" s="158"/>
      <c r="O371" s="158"/>
      <c r="P371" s="158"/>
      <c r="Q371" s="158"/>
      <c r="R371" s="158"/>
      <c r="S371" s="158"/>
      <c r="T371" s="158"/>
      <c r="U371" s="158"/>
      <c r="V371" s="158"/>
      <c r="W371" s="158" t="n">
        <f aca="false">+AE356</f>
        <v>0</v>
      </c>
      <c r="X371" s="158"/>
      <c r="Y371" s="158"/>
      <c r="Z371" s="158"/>
      <c r="AA371" s="158"/>
      <c r="AB371" s="158"/>
      <c r="AC371" s="158"/>
      <c r="AD371" s="158"/>
      <c r="AE371" s="158"/>
      <c r="AF371" s="158"/>
      <c r="AG371" s="158" t="n">
        <f aca="false">+AE365</f>
        <v>0</v>
      </c>
      <c r="AH371" s="158"/>
      <c r="AI371" s="158"/>
      <c r="AJ371" s="158"/>
      <c r="AK371" s="158"/>
      <c r="AL371" s="158"/>
      <c r="AM371" s="158"/>
      <c r="AN371" s="158"/>
      <c r="AO371" s="158"/>
      <c r="AP371" s="158"/>
    </row>
    <row r="372" customFormat="false" ht="39.95" hidden="false" customHeight="true" outlineLevel="0" collapsed="false">
      <c r="A372" s="182" t="s">
        <v>1887</v>
      </c>
      <c r="B372" s="182"/>
      <c r="C372" s="182"/>
      <c r="D372" s="182"/>
      <c r="E372" s="182"/>
      <c r="F372" s="182"/>
      <c r="G372" s="182"/>
      <c r="H372" s="182"/>
      <c r="I372" s="182"/>
      <c r="J372" s="182"/>
      <c r="K372" s="182"/>
      <c r="L372" s="182"/>
      <c r="M372" s="158" t="n">
        <f aca="false">+M370-M371</f>
        <v>2650000</v>
      </c>
      <c r="N372" s="158"/>
      <c r="O372" s="158"/>
      <c r="P372" s="158"/>
      <c r="Q372" s="158"/>
      <c r="R372" s="158"/>
      <c r="S372" s="158"/>
      <c r="T372" s="158"/>
      <c r="U372" s="158"/>
      <c r="V372" s="158"/>
      <c r="W372" s="158" t="n">
        <f aca="false">+W370-W371</f>
        <v>0</v>
      </c>
      <c r="X372" s="158"/>
      <c r="Y372" s="158"/>
      <c r="Z372" s="158"/>
      <c r="AA372" s="158"/>
      <c r="AB372" s="158"/>
      <c r="AC372" s="158"/>
      <c r="AD372" s="158"/>
      <c r="AE372" s="158"/>
      <c r="AF372" s="158"/>
      <c r="AG372" s="158" t="n">
        <f aca="false">+AG370-AG371</f>
        <v>0</v>
      </c>
      <c r="AH372" s="158"/>
      <c r="AI372" s="158"/>
      <c r="AJ372" s="158"/>
      <c r="AK372" s="158"/>
      <c r="AL372" s="158"/>
      <c r="AM372" s="158"/>
      <c r="AN372" s="158"/>
      <c r="AO372" s="158"/>
      <c r="AP372" s="158"/>
    </row>
    <row r="373" customFormat="false" ht="39.95" hidden="false" customHeight="true" outlineLevel="0" collapsed="false">
      <c r="A373" s="182" t="s">
        <v>1888</v>
      </c>
      <c r="B373" s="182"/>
      <c r="C373" s="182"/>
      <c r="D373" s="182"/>
      <c r="E373" s="182"/>
      <c r="F373" s="182"/>
      <c r="G373" s="182"/>
      <c r="H373" s="182"/>
      <c r="I373" s="182"/>
      <c r="J373" s="182"/>
      <c r="K373" s="182"/>
      <c r="L373" s="182"/>
      <c r="M373" s="184" t="n">
        <v>1</v>
      </c>
      <c r="N373" s="184"/>
      <c r="O373" s="184"/>
      <c r="P373" s="184"/>
      <c r="Q373" s="184"/>
      <c r="R373" s="184"/>
      <c r="S373" s="184"/>
      <c r="T373" s="184"/>
      <c r="U373" s="184"/>
      <c r="V373" s="184"/>
      <c r="W373" s="184"/>
      <c r="X373" s="184"/>
      <c r="Y373" s="184"/>
      <c r="Z373" s="184"/>
      <c r="AA373" s="184"/>
      <c r="AB373" s="184"/>
      <c r="AC373" s="184"/>
      <c r="AD373" s="184"/>
      <c r="AE373" s="184"/>
      <c r="AF373" s="184"/>
      <c r="AG373" s="184"/>
      <c r="AH373" s="184"/>
      <c r="AI373" s="184"/>
      <c r="AJ373" s="184"/>
      <c r="AK373" s="184"/>
      <c r="AL373" s="184"/>
      <c r="AM373" s="184"/>
      <c r="AN373" s="184"/>
      <c r="AO373" s="184"/>
      <c r="AP373" s="184"/>
    </row>
    <row r="374" customFormat="false" ht="49.5" hidden="false" customHeight="true" outlineLevel="0" collapsed="false">
      <c r="A374" s="182" t="s">
        <v>1889</v>
      </c>
      <c r="B374" s="182"/>
      <c r="C374" s="182"/>
      <c r="D374" s="182"/>
      <c r="E374" s="182"/>
      <c r="F374" s="182"/>
      <c r="G374" s="182"/>
      <c r="H374" s="182"/>
      <c r="I374" s="182"/>
      <c r="J374" s="182"/>
      <c r="K374" s="182"/>
      <c r="L374" s="182"/>
      <c r="M374" s="158" t="n">
        <f aca="false">+M372*M373</f>
        <v>2650000</v>
      </c>
      <c r="N374" s="158"/>
      <c r="O374" s="158"/>
      <c r="P374" s="158"/>
      <c r="Q374" s="158"/>
      <c r="R374" s="158"/>
      <c r="S374" s="158"/>
      <c r="T374" s="158"/>
      <c r="U374" s="158"/>
      <c r="V374" s="158"/>
      <c r="W374" s="158" t="n">
        <f aca="false">+W372*W373</f>
        <v>0</v>
      </c>
      <c r="X374" s="158"/>
      <c r="Y374" s="158"/>
      <c r="Z374" s="158"/>
      <c r="AA374" s="158"/>
      <c r="AB374" s="158"/>
      <c r="AC374" s="158"/>
      <c r="AD374" s="158"/>
      <c r="AE374" s="158"/>
      <c r="AF374" s="158"/>
      <c r="AG374" s="158" t="n">
        <f aca="false">+AG372*AG373</f>
        <v>0</v>
      </c>
      <c r="AH374" s="158"/>
      <c r="AI374" s="158"/>
      <c r="AJ374" s="158"/>
      <c r="AK374" s="158"/>
      <c r="AL374" s="158"/>
      <c r="AM374" s="158"/>
      <c r="AN374" s="158"/>
      <c r="AO374" s="158"/>
      <c r="AP374" s="158"/>
    </row>
    <row r="375" customFormat="false" ht="39.95" hidden="false" customHeight="true" outlineLevel="0" collapsed="false">
      <c r="A375" s="182" t="s">
        <v>1890</v>
      </c>
      <c r="B375" s="182"/>
      <c r="C375" s="182"/>
      <c r="D375" s="182"/>
      <c r="E375" s="182"/>
      <c r="F375" s="182"/>
      <c r="G375" s="182"/>
      <c r="H375" s="182"/>
      <c r="I375" s="182"/>
      <c r="J375" s="182"/>
      <c r="K375" s="182"/>
      <c r="L375" s="182"/>
      <c r="M375" s="183" t="n">
        <f aca="false">+T332/(M374+W374+AG374)</f>
        <v>0.30188679245283</v>
      </c>
      <c r="N375" s="183"/>
      <c r="O375" s="183"/>
      <c r="P375" s="183"/>
      <c r="Q375" s="183"/>
      <c r="R375" s="183"/>
      <c r="S375" s="183"/>
      <c r="T375" s="183"/>
      <c r="U375" s="183"/>
      <c r="V375" s="183"/>
      <c r="W375" s="183"/>
      <c r="X375" s="183"/>
      <c r="Y375" s="183"/>
      <c r="Z375" s="183"/>
      <c r="AA375" s="183"/>
      <c r="AB375" s="183"/>
      <c r="AC375" s="183"/>
      <c r="AD375" s="183"/>
      <c r="AE375" s="183"/>
      <c r="AF375" s="183"/>
      <c r="AG375" s="183"/>
      <c r="AH375" s="183"/>
      <c r="AI375" s="183"/>
      <c r="AJ375" s="183"/>
      <c r="AK375" s="183"/>
      <c r="AL375" s="183"/>
      <c r="AM375" s="183"/>
      <c r="AN375" s="183"/>
      <c r="AO375" s="183"/>
      <c r="AP375" s="183"/>
    </row>
    <row r="376" customFormat="false" ht="72.75" hidden="false" customHeight="true" outlineLevel="0" collapsed="false">
      <c r="A376" s="185" t="s">
        <v>1891</v>
      </c>
      <c r="B376" s="185"/>
      <c r="C376" s="185"/>
      <c r="D376" s="185"/>
      <c r="E376" s="185"/>
      <c r="F376" s="185"/>
      <c r="G376" s="185"/>
      <c r="H376" s="185"/>
      <c r="I376" s="185"/>
      <c r="J376" s="185"/>
      <c r="K376" s="185"/>
      <c r="L376" s="185"/>
      <c r="M376" s="186" t="n">
        <f aca="false">+$M$375*M373</f>
        <v>0.30188679245283</v>
      </c>
      <c r="N376" s="186"/>
      <c r="O376" s="186"/>
      <c r="P376" s="186"/>
      <c r="Q376" s="186"/>
      <c r="R376" s="186"/>
      <c r="S376" s="186"/>
      <c r="T376" s="186"/>
      <c r="U376" s="186"/>
      <c r="V376" s="186"/>
      <c r="W376" s="186" t="n">
        <f aca="false">+$M$375*W373</f>
        <v>0</v>
      </c>
      <c r="X376" s="186"/>
      <c r="Y376" s="186"/>
      <c r="Z376" s="186"/>
      <c r="AA376" s="186"/>
      <c r="AB376" s="186"/>
      <c r="AC376" s="186"/>
      <c r="AD376" s="186"/>
      <c r="AE376" s="186"/>
      <c r="AF376" s="186"/>
      <c r="AG376" s="186" t="n">
        <f aca="false">+$M$375*AG373</f>
        <v>0</v>
      </c>
      <c r="AH376" s="186"/>
      <c r="AI376" s="186"/>
      <c r="AJ376" s="186"/>
      <c r="AK376" s="186"/>
      <c r="AL376" s="186"/>
      <c r="AM376" s="186"/>
      <c r="AN376" s="186"/>
      <c r="AO376" s="186"/>
      <c r="AP376" s="186"/>
    </row>
    <row r="377" customFormat="false" ht="14.25" hidden="false" customHeight="true" outlineLevel="0" collapsed="false"/>
    <row r="378" customFormat="false" ht="32.25" hidden="false" customHeight="true" outlineLevel="0" collapsed="false">
      <c r="A378" s="167" t="s">
        <v>1892</v>
      </c>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c r="AA378" s="167"/>
      <c r="AB378" s="167"/>
      <c r="AC378" s="167"/>
      <c r="AD378" s="167"/>
      <c r="AE378" s="167"/>
      <c r="AF378" s="167"/>
      <c r="AG378" s="167"/>
      <c r="AH378" s="167"/>
      <c r="AI378" s="167"/>
      <c r="AJ378" s="167"/>
      <c r="AK378" s="167"/>
      <c r="AL378" s="167"/>
      <c r="AM378" s="167"/>
      <c r="AN378" s="167"/>
      <c r="AO378" s="167"/>
      <c r="AP378" s="167"/>
    </row>
    <row r="379" customFormat="false" ht="125.1" hidden="false" customHeight="true" outlineLevel="0" collapsed="false">
      <c r="A379" s="60" t="s">
        <v>1893</v>
      </c>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row>
    <row r="380" customFormat="false" ht="14.25" hidden="false" customHeight="true" outlineLevel="0" collapsed="false"/>
    <row r="381" customFormat="false" ht="63.95" hidden="false" customHeight="true" outlineLevel="0" collapsed="false">
      <c r="A381" s="156" t="s">
        <v>1747</v>
      </c>
      <c r="B381" s="156"/>
      <c r="C381" s="156"/>
      <c r="D381" s="156"/>
      <c r="E381" s="156"/>
      <c r="F381" s="156"/>
      <c r="G381" s="156"/>
      <c r="H381" s="156"/>
      <c r="I381" s="156"/>
      <c r="J381" s="156"/>
      <c r="K381" s="156"/>
      <c r="L381" s="156"/>
      <c r="M381" s="156" t="s">
        <v>1863</v>
      </c>
      <c r="N381" s="156"/>
      <c r="O381" s="156"/>
      <c r="P381" s="156"/>
      <c r="Q381" s="156"/>
      <c r="R381" s="156"/>
      <c r="S381" s="156"/>
      <c r="T381" s="156"/>
      <c r="U381" s="177" t="s">
        <v>1894</v>
      </c>
      <c r="V381" s="177"/>
      <c r="W381" s="177"/>
      <c r="X381" s="177"/>
      <c r="Y381" s="156" t="s">
        <v>1837</v>
      </c>
      <c r="Z381" s="156"/>
      <c r="AA381" s="156"/>
      <c r="AB381" s="156"/>
      <c r="AC381" s="156"/>
      <c r="AD381" s="156"/>
      <c r="AE381" s="156" t="s">
        <v>1831</v>
      </c>
      <c r="AF381" s="156"/>
      <c r="AG381" s="156"/>
      <c r="AH381" s="156"/>
      <c r="AI381" s="156"/>
      <c r="AJ381" s="156"/>
      <c r="AK381" s="156" t="s">
        <v>1832</v>
      </c>
      <c r="AL381" s="156"/>
      <c r="AM381" s="156"/>
      <c r="AN381" s="156"/>
      <c r="AO381" s="156"/>
      <c r="AP381" s="156"/>
      <c r="AQ381" s="156" t="s">
        <v>1833</v>
      </c>
      <c r="AR381" s="156"/>
      <c r="AS381" s="156"/>
      <c r="AT381" s="156"/>
      <c r="AU381" s="156"/>
      <c r="AV381" s="156"/>
      <c r="AW381" s="156" t="s">
        <v>1834</v>
      </c>
      <c r="AX381" s="156"/>
      <c r="AY381" s="156"/>
      <c r="AZ381" s="156"/>
      <c r="BA381" s="156"/>
      <c r="BB381" s="156"/>
    </row>
    <row r="382" customFormat="false" ht="39.95" hidden="false" customHeight="true" outlineLevel="0" collapsed="false">
      <c r="A382" s="187" t="s">
        <v>1895</v>
      </c>
      <c r="B382" s="187"/>
      <c r="C382" s="187"/>
      <c r="D382" s="187"/>
      <c r="E382" s="187"/>
      <c r="F382" s="187"/>
      <c r="G382" s="187"/>
      <c r="H382" s="187"/>
      <c r="I382" s="187"/>
      <c r="J382" s="187"/>
      <c r="K382" s="187"/>
      <c r="L382" s="187"/>
      <c r="M382" s="188" t="s">
        <v>1896</v>
      </c>
      <c r="N382" s="188"/>
      <c r="O382" s="188"/>
      <c r="P382" s="188"/>
      <c r="Q382" s="188"/>
      <c r="R382" s="188"/>
      <c r="S382" s="188"/>
      <c r="T382" s="188"/>
      <c r="U382" s="156" t="s">
        <v>1896</v>
      </c>
      <c r="V382" s="156"/>
      <c r="W382" s="156"/>
      <c r="X382" s="156"/>
      <c r="Y382" s="189" t="n">
        <f aca="false">+SUM(AG226+AG234+AG241)</f>
        <v>7200000</v>
      </c>
      <c r="Z382" s="189"/>
      <c r="AA382" s="189"/>
      <c r="AB382" s="189"/>
      <c r="AC382" s="189"/>
      <c r="AD382" s="189"/>
      <c r="AE382" s="189" t="n">
        <f aca="false">+Y382*(1+$F$251)</f>
        <v>7920000</v>
      </c>
      <c r="AF382" s="189"/>
      <c r="AG382" s="189"/>
      <c r="AH382" s="189"/>
      <c r="AI382" s="189"/>
      <c r="AJ382" s="189"/>
      <c r="AK382" s="189" t="n">
        <f aca="false">+AE382*(1+$I$251)</f>
        <v>8712000</v>
      </c>
      <c r="AL382" s="189"/>
      <c r="AM382" s="189"/>
      <c r="AN382" s="189"/>
      <c r="AO382" s="189"/>
      <c r="AP382" s="189"/>
      <c r="AQ382" s="189" t="n">
        <f aca="false">+AK382*(1+$L$251)</f>
        <v>9583200</v>
      </c>
      <c r="AR382" s="189"/>
      <c r="AS382" s="189"/>
      <c r="AT382" s="189"/>
      <c r="AU382" s="189"/>
      <c r="AV382" s="189"/>
      <c r="AW382" s="189" t="n">
        <f aca="false">+AQ382*(1+$O$251)</f>
        <v>10541520</v>
      </c>
      <c r="AX382" s="189"/>
      <c r="AY382" s="189"/>
      <c r="AZ382" s="189"/>
      <c r="BA382" s="189"/>
      <c r="BB382" s="189"/>
    </row>
    <row r="383" customFormat="false" ht="39.95" hidden="false" customHeight="true" outlineLevel="0" collapsed="false">
      <c r="A383" s="169"/>
      <c r="B383" s="169"/>
      <c r="C383" s="169"/>
      <c r="D383" s="169"/>
      <c r="E383" s="169"/>
      <c r="F383" s="169"/>
      <c r="G383" s="169"/>
      <c r="H383" s="169"/>
      <c r="I383" s="169"/>
      <c r="J383" s="169"/>
      <c r="K383" s="169"/>
      <c r="L383" s="169"/>
      <c r="M383" s="146"/>
      <c r="N383" s="146"/>
      <c r="O383" s="146"/>
      <c r="P383" s="146"/>
      <c r="Q383" s="146"/>
      <c r="R383" s="146"/>
      <c r="S383" s="146"/>
      <c r="T383" s="146"/>
      <c r="U383" s="114"/>
      <c r="V383" s="114"/>
      <c r="W383" s="114"/>
      <c r="X383" s="114"/>
      <c r="Y383" s="189" t="n">
        <f aca="false">+M383*U383</f>
        <v>0</v>
      </c>
      <c r="Z383" s="189"/>
      <c r="AA383" s="189"/>
      <c r="AB383" s="189"/>
      <c r="AC383" s="189"/>
      <c r="AD383" s="189"/>
      <c r="AE383" s="189" t="n">
        <f aca="false">+Y383*(1+$F$251)</f>
        <v>0</v>
      </c>
      <c r="AF383" s="189"/>
      <c r="AG383" s="189"/>
      <c r="AH383" s="189"/>
      <c r="AI383" s="189"/>
      <c r="AJ383" s="189"/>
      <c r="AK383" s="189" t="n">
        <f aca="false">+AE383*(1+$I$251)</f>
        <v>0</v>
      </c>
      <c r="AL383" s="189"/>
      <c r="AM383" s="189"/>
      <c r="AN383" s="189"/>
      <c r="AO383" s="189"/>
      <c r="AP383" s="189"/>
      <c r="AQ383" s="189" t="n">
        <f aca="false">+AK383*(1+$L$251)</f>
        <v>0</v>
      </c>
      <c r="AR383" s="189"/>
      <c r="AS383" s="189"/>
      <c r="AT383" s="189"/>
      <c r="AU383" s="189"/>
      <c r="AV383" s="189"/>
      <c r="AW383" s="189" t="n">
        <f aca="false">+AQ383*(1+$O$251)</f>
        <v>0</v>
      </c>
      <c r="AX383" s="189"/>
      <c r="AY383" s="189"/>
      <c r="AZ383" s="189"/>
      <c r="BA383" s="189"/>
      <c r="BB383" s="189"/>
    </row>
    <row r="384" customFormat="false" ht="39.95" hidden="false" customHeight="true" outlineLevel="0" collapsed="false">
      <c r="A384" s="169"/>
      <c r="B384" s="169"/>
      <c r="C384" s="169"/>
      <c r="D384" s="169"/>
      <c r="E384" s="169"/>
      <c r="F384" s="169"/>
      <c r="G384" s="169"/>
      <c r="H384" s="169"/>
      <c r="I384" s="169"/>
      <c r="J384" s="169"/>
      <c r="K384" s="169"/>
      <c r="L384" s="169"/>
      <c r="M384" s="146"/>
      <c r="N384" s="146"/>
      <c r="O384" s="146"/>
      <c r="P384" s="146"/>
      <c r="Q384" s="146"/>
      <c r="R384" s="146"/>
      <c r="S384" s="146"/>
      <c r="T384" s="146"/>
      <c r="U384" s="114"/>
      <c r="V384" s="114"/>
      <c r="W384" s="114"/>
      <c r="X384" s="114"/>
      <c r="Y384" s="189" t="n">
        <f aca="false">+M384*U384</f>
        <v>0</v>
      </c>
      <c r="Z384" s="189"/>
      <c r="AA384" s="189"/>
      <c r="AB384" s="189"/>
      <c r="AC384" s="189"/>
      <c r="AD384" s="189"/>
      <c r="AE384" s="189" t="n">
        <f aca="false">+Y384*(1+$F$251)</f>
        <v>0</v>
      </c>
      <c r="AF384" s="189"/>
      <c r="AG384" s="189"/>
      <c r="AH384" s="189"/>
      <c r="AI384" s="189"/>
      <c r="AJ384" s="189"/>
      <c r="AK384" s="189" t="n">
        <f aca="false">+AE384*(1+$I$251)</f>
        <v>0</v>
      </c>
      <c r="AL384" s="189"/>
      <c r="AM384" s="189"/>
      <c r="AN384" s="189"/>
      <c r="AO384" s="189"/>
      <c r="AP384" s="189"/>
      <c r="AQ384" s="189" t="n">
        <f aca="false">+AK384*(1+$L$251)</f>
        <v>0</v>
      </c>
      <c r="AR384" s="189"/>
      <c r="AS384" s="189"/>
      <c r="AT384" s="189"/>
      <c r="AU384" s="189"/>
      <c r="AV384" s="189"/>
      <c r="AW384" s="189" t="n">
        <f aca="false">+AQ384*(1+$O$251)</f>
        <v>0</v>
      </c>
      <c r="AX384" s="189"/>
      <c r="AY384" s="189"/>
      <c r="AZ384" s="189"/>
      <c r="BA384" s="189"/>
      <c r="BB384" s="189"/>
    </row>
    <row r="385" customFormat="false" ht="39.95" hidden="false" customHeight="true" outlineLevel="0" collapsed="false">
      <c r="A385" s="169"/>
      <c r="B385" s="169"/>
      <c r="C385" s="169"/>
      <c r="D385" s="169"/>
      <c r="E385" s="169"/>
      <c r="F385" s="169"/>
      <c r="G385" s="169"/>
      <c r="H385" s="169"/>
      <c r="I385" s="169"/>
      <c r="J385" s="169"/>
      <c r="K385" s="169"/>
      <c r="L385" s="169"/>
      <c r="M385" s="146"/>
      <c r="N385" s="146"/>
      <c r="O385" s="146"/>
      <c r="P385" s="146"/>
      <c r="Q385" s="146"/>
      <c r="R385" s="146"/>
      <c r="S385" s="146"/>
      <c r="T385" s="146"/>
      <c r="U385" s="114"/>
      <c r="V385" s="114"/>
      <c r="W385" s="114"/>
      <c r="X385" s="114"/>
      <c r="Y385" s="189" t="n">
        <f aca="false">+M385*U385</f>
        <v>0</v>
      </c>
      <c r="Z385" s="189"/>
      <c r="AA385" s="189"/>
      <c r="AB385" s="189"/>
      <c r="AC385" s="189"/>
      <c r="AD385" s="189"/>
      <c r="AE385" s="189" t="n">
        <f aca="false">+Y385*(1+$F$251)</f>
        <v>0</v>
      </c>
      <c r="AF385" s="189"/>
      <c r="AG385" s="189"/>
      <c r="AH385" s="189"/>
      <c r="AI385" s="189"/>
      <c r="AJ385" s="189"/>
      <c r="AK385" s="189" t="n">
        <f aca="false">+AE385*(1+$I$251)</f>
        <v>0</v>
      </c>
      <c r="AL385" s="189"/>
      <c r="AM385" s="189"/>
      <c r="AN385" s="189"/>
      <c r="AO385" s="189"/>
      <c r="AP385" s="189"/>
      <c r="AQ385" s="189" t="n">
        <f aca="false">+AK385*(1+$L$251)</f>
        <v>0</v>
      </c>
      <c r="AR385" s="189"/>
      <c r="AS385" s="189"/>
      <c r="AT385" s="189"/>
      <c r="AU385" s="189"/>
      <c r="AV385" s="189"/>
      <c r="AW385" s="189" t="n">
        <f aca="false">+AQ385*(1+$O$251)</f>
        <v>0</v>
      </c>
      <c r="AX385" s="189"/>
      <c r="AY385" s="189"/>
      <c r="AZ385" s="189"/>
      <c r="BA385" s="189"/>
      <c r="BB385" s="189"/>
    </row>
    <row r="386" customFormat="false" ht="39.95" hidden="false" customHeight="true" outlineLevel="0" collapsed="false">
      <c r="A386" s="169"/>
      <c r="B386" s="169"/>
      <c r="C386" s="169"/>
      <c r="D386" s="169"/>
      <c r="E386" s="169"/>
      <c r="F386" s="169"/>
      <c r="G386" s="169"/>
      <c r="H386" s="169"/>
      <c r="I386" s="169"/>
      <c r="J386" s="169"/>
      <c r="K386" s="169"/>
      <c r="L386" s="169"/>
      <c r="M386" s="146"/>
      <c r="N386" s="146"/>
      <c r="O386" s="146"/>
      <c r="P386" s="146"/>
      <c r="Q386" s="146"/>
      <c r="R386" s="146"/>
      <c r="S386" s="146"/>
      <c r="T386" s="146"/>
      <c r="U386" s="114"/>
      <c r="V386" s="114"/>
      <c r="W386" s="114"/>
      <c r="X386" s="114"/>
      <c r="Y386" s="189" t="n">
        <f aca="false">+M386*U386</f>
        <v>0</v>
      </c>
      <c r="Z386" s="189"/>
      <c r="AA386" s="189"/>
      <c r="AB386" s="189"/>
      <c r="AC386" s="189"/>
      <c r="AD386" s="189"/>
      <c r="AE386" s="189" t="n">
        <f aca="false">+Y386*(1+$F$251)</f>
        <v>0</v>
      </c>
      <c r="AF386" s="189"/>
      <c r="AG386" s="189"/>
      <c r="AH386" s="189"/>
      <c r="AI386" s="189"/>
      <c r="AJ386" s="189"/>
      <c r="AK386" s="189" t="n">
        <f aca="false">+AE386*(1+$I$251)</f>
        <v>0</v>
      </c>
      <c r="AL386" s="189"/>
      <c r="AM386" s="189"/>
      <c r="AN386" s="189"/>
      <c r="AO386" s="189"/>
      <c r="AP386" s="189"/>
      <c r="AQ386" s="189" t="n">
        <f aca="false">+AK386*(1+$L$251)</f>
        <v>0</v>
      </c>
      <c r="AR386" s="189"/>
      <c r="AS386" s="189"/>
      <c r="AT386" s="189"/>
      <c r="AU386" s="189"/>
      <c r="AV386" s="189"/>
      <c r="AW386" s="189" t="n">
        <f aca="false">+AQ386*(1+$O$251)</f>
        <v>0</v>
      </c>
      <c r="AX386" s="189"/>
      <c r="AY386" s="189"/>
      <c r="AZ386" s="189"/>
      <c r="BA386" s="189"/>
      <c r="BB386" s="189"/>
    </row>
    <row r="387" customFormat="false" ht="39.95" hidden="false" customHeight="true" outlineLevel="0" collapsed="false">
      <c r="A387" s="169"/>
      <c r="B387" s="169"/>
      <c r="C387" s="169"/>
      <c r="D387" s="169"/>
      <c r="E387" s="169"/>
      <c r="F387" s="169"/>
      <c r="G387" s="169"/>
      <c r="H387" s="169"/>
      <c r="I387" s="169"/>
      <c r="J387" s="169"/>
      <c r="K387" s="169"/>
      <c r="L387" s="169"/>
      <c r="M387" s="146"/>
      <c r="N387" s="146"/>
      <c r="O387" s="146"/>
      <c r="P387" s="146"/>
      <c r="Q387" s="146"/>
      <c r="R387" s="146"/>
      <c r="S387" s="146"/>
      <c r="T387" s="146"/>
      <c r="U387" s="114"/>
      <c r="V387" s="114"/>
      <c r="W387" s="114"/>
      <c r="X387" s="114"/>
      <c r="Y387" s="189" t="n">
        <f aca="false">+M387*U387</f>
        <v>0</v>
      </c>
      <c r="Z387" s="189"/>
      <c r="AA387" s="189"/>
      <c r="AB387" s="189"/>
      <c r="AC387" s="189"/>
      <c r="AD387" s="189"/>
      <c r="AE387" s="189" t="n">
        <f aca="false">+Y387*(1+$F$251)</f>
        <v>0</v>
      </c>
      <c r="AF387" s="189"/>
      <c r="AG387" s="189"/>
      <c r="AH387" s="189"/>
      <c r="AI387" s="189"/>
      <c r="AJ387" s="189"/>
      <c r="AK387" s="189" t="n">
        <f aca="false">+AE387*(1+$I$251)</f>
        <v>0</v>
      </c>
      <c r="AL387" s="189"/>
      <c r="AM387" s="189"/>
      <c r="AN387" s="189"/>
      <c r="AO387" s="189"/>
      <c r="AP387" s="189"/>
      <c r="AQ387" s="189" t="n">
        <f aca="false">+AK387*(1+$L$251)</f>
        <v>0</v>
      </c>
      <c r="AR387" s="189"/>
      <c r="AS387" s="189"/>
      <c r="AT387" s="189"/>
      <c r="AU387" s="189"/>
      <c r="AV387" s="189"/>
      <c r="AW387" s="189" t="n">
        <f aca="false">+AQ387*(1+$O$251)</f>
        <v>0</v>
      </c>
      <c r="AX387" s="189"/>
      <c r="AY387" s="189"/>
      <c r="AZ387" s="189"/>
      <c r="BA387" s="189"/>
      <c r="BB387" s="189"/>
    </row>
    <row r="388" customFormat="false" ht="39.95" hidden="false" customHeight="true" outlineLevel="0" collapsed="false">
      <c r="A388" s="169"/>
      <c r="B388" s="169"/>
      <c r="C388" s="169"/>
      <c r="D388" s="169"/>
      <c r="E388" s="169"/>
      <c r="F388" s="169"/>
      <c r="G388" s="169"/>
      <c r="H388" s="169"/>
      <c r="I388" s="169"/>
      <c r="J388" s="169"/>
      <c r="K388" s="169"/>
      <c r="L388" s="169"/>
      <c r="M388" s="146"/>
      <c r="N388" s="146"/>
      <c r="O388" s="146"/>
      <c r="P388" s="146"/>
      <c r="Q388" s="146"/>
      <c r="R388" s="146"/>
      <c r="S388" s="146"/>
      <c r="T388" s="146"/>
      <c r="U388" s="114"/>
      <c r="V388" s="114"/>
      <c r="W388" s="114"/>
      <c r="X388" s="114"/>
      <c r="Y388" s="189" t="n">
        <f aca="false">+M388*U388</f>
        <v>0</v>
      </c>
      <c r="Z388" s="189"/>
      <c r="AA388" s="189"/>
      <c r="AB388" s="189"/>
      <c r="AC388" s="189"/>
      <c r="AD388" s="189"/>
      <c r="AE388" s="189" t="n">
        <f aca="false">+Y388*(1+$F$251)</f>
        <v>0</v>
      </c>
      <c r="AF388" s="189"/>
      <c r="AG388" s="189"/>
      <c r="AH388" s="189"/>
      <c r="AI388" s="189"/>
      <c r="AJ388" s="189"/>
      <c r="AK388" s="189" t="n">
        <f aca="false">+AE388*(1+$I$251)</f>
        <v>0</v>
      </c>
      <c r="AL388" s="189"/>
      <c r="AM388" s="189"/>
      <c r="AN388" s="189"/>
      <c r="AO388" s="189"/>
      <c r="AP388" s="189"/>
      <c r="AQ388" s="189" t="n">
        <f aca="false">+AK388*(1+$L$251)</f>
        <v>0</v>
      </c>
      <c r="AR388" s="189"/>
      <c r="AS388" s="189"/>
      <c r="AT388" s="189"/>
      <c r="AU388" s="189"/>
      <c r="AV388" s="189"/>
      <c r="AW388" s="189" t="n">
        <f aca="false">+AQ388*(1+$O$251)</f>
        <v>0</v>
      </c>
      <c r="AX388" s="189"/>
      <c r="AY388" s="189"/>
      <c r="AZ388" s="189"/>
      <c r="BA388" s="189"/>
      <c r="BB388" s="189"/>
    </row>
    <row r="389" customFormat="false" ht="39.95" hidden="false" customHeight="true" outlineLevel="0" collapsed="false">
      <c r="A389" s="169"/>
      <c r="B389" s="169"/>
      <c r="C389" s="169"/>
      <c r="D389" s="169"/>
      <c r="E389" s="169"/>
      <c r="F389" s="169"/>
      <c r="G389" s="169"/>
      <c r="H389" s="169"/>
      <c r="I389" s="169"/>
      <c r="J389" s="169"/>
      <c r="K389" s="169"/>
      <c r="L389" s="169"/>
      <c r="M389" s="146"/>
      <c r="N389" s="146"/>
      <c r="O389" s="146"/>
      <c r="P389" s="146"/>
      <c r="Q389" s="146"/>
      <c r="R389" s="146"/>
      <c r="S389" s="146"/>
      <c r="T389" s="146"/>
      <c r="U389" s="114"/>
      <c r="V389" s="114"/>
      <c r="W389" s="114"/>
      <c r="X389" s="114"/>
      <c r="Y389" s="189" t="n">
        <f aca="false">+M389*U389</f>
        <v>0</v>
      </c>
      <c r="Z389" s="189"/>
      <c r="AA389" s="189"/>
      <c r="AB389" s="189"/>
      <c r="AC389" s="189"/>
      <c r="AD389" s="189"/>
      <c r="AE389" s="189" t="n">
        <f aca="false">+Y389*(1+$F$251)</f>
        <v>0</v>
      </c>
      <c r="AF389" s="189"/>
      <c r="AG389" s="189"/>
      <c r="AH389" s="189"/>
      <c r="AI389" s="189"/>
      <c r="AJ389" s="189"/>
      <c r="AK389" s="189" t="n">
        <f aca="false">+AE389*(1+$I$251)</f>
        <v>0</v>
      </c>
      <c r="AL389" s="189"/>
      <c r="AM389" s="189"/>
      <c r="AN389" s="189"/>
      <c r="AO389" s="189"/>
      <c r="AP389" s="189"/>
      <c r="AQ389" s="189" t="n">
        <f aca="false">+AK389*(1+$L$251)</f>
        <v>0</v>
      </c>
      <c r="AR389" s="189"/>
      <c r="AS389" s="189"/>
      <c r="AT389" s="189"/>
      <c r="AU389" s="189"/>
      <c r="AV389" s="189"/>
      <c r="AW389" s="189" t="n">
        <f aca="false">+AQ389*(1+$O$251)</f>
        <v>0</v>
      </c>
      <c r="AX389" s="189"/>
      <c r="AY389" s="189"/>
      <c r="AZ389" s="189"/>
      <c r="BA389" s="189"/>
      <c r="BB389" s="189"/>
    </row>
    <row r="390" customFormat="false" ht="39.95" hidden="false" customHeight="true" outlineLevel="0" collapsed="false">
      <c r="A390" s="169"/>
      <c r="B390" s="169"/>
      <c r="C390" s="169"/>
      <c r="D390" s="169"/>
      <c r="E390" s="169"/>
      <c r="F390" s="169"/>
      <c r="G390" s="169"/>
      <c r="H390" s="169"/>
      <c r="I390" s="169"/>
      <c r="J390" s="169"/>
      <c r="K390" s="169"/>
      <c r="L390" s="169"/>
      <c r="M390" s="146"/>
      <c r="N390" s="146"/>
      <c r="O390" s="146"/>
      <c r="P390" s="146"/>
      <c r="Q390" s="146"/>
      <c r="R390" s="146"/>
      <c r="S390" s="146"/>
      <c r="T390" s="146"/>
      <c r="U390" s="114"/>
      <c r="V390" s="114"/>
      <c r="W390" s="114"/>
      <c r="X390" s="114"/>
      <c r="Y390" s="189" t="n">
        <f aca="false">+M390*U390</f>
        <v>0</v>
      </c>
      <c r="Z390" s="189"/>
      <c r="AA390" s="189"/>
      <c r="AB390" s="189"/>
      <c r="AC390" s="189"/>
      <c r="AD390" s="189"/>
      <c r="AE390" s="189" t="n">
        <f aca="false">+Y390*(1+$F$251)</f>
        <v>0</v>
      </c>
      <c r="AF390" s="189"/>
      <c r="AG390" s="189"/>
      <c r="AH390" s="189"/>
      <c r="AI390" s="189"/>
      <c r="AJ390" s="189"/>
      <c r="AK390" s="189" t="n">
        <f aca="false">+AE390*(1+$I$251)</f>
        <v>0</v>
      </c>
      <c r="AL390" s="189"/>
      <c r="AM390" s="189"/>
      <c r="AN390" s="189"/>
      <c r="AO390" s="189"/>
      <c r="AP390" s="189"/>
      <c r="AQ390" s="189" t="n">
        <f aca="false">+AK390*(1+$L$251)</f>
        <v>0</v>
      </c>
      <c r="AR390" s="189"/>
      <c r="AS390" s="189"/>
      <c r="AT390" s="189"/>
      <c r="AU390" s="189"/>
      <c r="AV390" s="189"/>
      <c r="AW390" s="189" t="n">
        <f aca="false">+AQ390*(1+$O$251)</f>
        <v>0</v>
      </c>
      <c r="AX390" s="189"/>
      <c r="AY390" s="189"/>
      <c r="AZ390" s="189"/>
      <c r="BA390" s="189"/>
      <c r="BB390" s="189"/>
    </row>
    <row r="391" customFormat="false" ht="39.95" hidden="false" customHeight="true" outlineLevel="0" collapsed="false">
      <c r="A391" s="169"/>
      <c r="B391" s="169"/>
      <c r="C391" s="169"/>
      <c r="D391" s="169"/>
      <c r="E391" s="169"/>
      <c r="F391" s="169"/>
      <c r="G391" s="169"/>
      <c r="H391" s="169"/>
      <c r="I391" s="169"/>
      <c r="J391" s="169"/>
      <c r="K391" s="169"/>
      <c r="L391" s="169"/>
      <c r="M391" s="146"/>
      <c r="N391" s="146"/>
      <c r="O391" s="146"/>
      <c r="P391" s="146"/>
      <c r="Q391" s="146"/>
      <c r="R391" s="146"/>
      <c r="S391" s="146"/>
      <c r="T391" s="146"/>
      <c r="U391" s="114"/>
      <c r="V391" s="114"/>
      <c r="W391" s="114"/>
      <c r="X391" s="114"/>
      <c r="Y391" s="189" t="n">
        <f aca="false">+M391*U391</f>
        <v>0</v>
      </c>
      <c r="Z391" s="189"/>
      <c r="AA391" s="189"/>
      <c r="AB391" s="189"/>
      <c r="AC391" s="189"/>
      <c r="AD391" s="189"/>
      <c r="AE391" s="189" t="n">
        <f aca="false">+Y391*(1+$F$251)</f>
        <v>0</v>
      </c>
      <c r="AF391" s="189"/>
      <c r="AG391" s="189"/>
      <c r="AH391" s="189"/>
      <c r="AI391" s="189"/>
      <c r="AJ391" s="189"/>
      <c r="AK391" s="189" t="n">
        <f aca="false">+AE391*(1+$I$251)</f>
        <v>0</v>
      </c>
      <c r="AL391" s="189"/>
      <c r="AM391" s="189"/>
      <c r="AN391" s="189"/>
      <c r="AO391" s="189"/>
      <c r="AP391" s="189"/>
      <c r="AQ391" s="189" t="n">
        <f aca="false">+AK391*(1+$L$251)</f>
        <v>0</v>
      </c>
      <c r="AR391" s="189"/>
      <c r="AS391" s="189"/>
      <c r="AT391" s="189"/>
      <c r="AU391" s="189"/>
      <c r="AV391" s="189"/>
      <c r="AW391" s="189" t="n">
        <f aca="false">+AQ391*(1+$O$251)</f>
        <v>0</v>
      </c>
      <c r="AX391" s="189"/>
      <c r="AY391" s="189"/>
      <c r="AZ391" s="189"/>
      <c r="BA391" s="189"/>
      <c r="BB391" s="189"/>
    </row>
    <row r="392" customFormat="false" ht="39.95" hidden="false" customHeight="true" outlineLevel="0" collapsed="false">
      <c r="A392" s="79" t="s">
        <v>1809</v>
      </c>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190" t="n">
        <f aca="false">SUM(Y382:AD391)</f>
        <v>7200000</v>
      </c>
      <c r="Z392" s="190"/>
      <c r="AA392" s="190"/>
      <c r="AB392" s="190"/>
      <c r="AC392" s="190"/>
      <c r="AD392" s="190"/>
      <c r="AE392" s="190" t="n">
        <f aca="false">SUM(AE382:AJ391)</f>
        <v>7920000</v>
      </c>
      <c r="AF392" s="190"/>
      <c r="AG392" s="190"/>
      <c r="AH392" s="190"/>
      <c r="AI392" s="190"/>
      <c r="AJ392" s="190"/>
      <c r="AK392" s="190" t="n">
        <f aca="false">SUM(AK382:AP391)</f>
        <v>8712000</v>
      </c>
      <c r="AL392" s="190"/>
      <c r="AM392" s="190"/>
      <c r="AN392" s="190"/>
      <c r="AO392" s="190"/>
      <c r="AP392" s="190"/>
      <c r="AQ392" s="190" t="n">
        <f aca="false">SUM(AQ382:AV391)</f>
        <v>9583200</v>
      </c>
      <c r="AR392" s="190"/>
      <c r="AS392" s="190"/>
      <c r="AT392" s="190"/>
      <c r="AU392" s="190"/>
      <c r="AV392" s="190"/>
      <c r="AW392" s="190" t="n">
        <f aca="false">SUM(AW382:BB391)</f>
        <v>10541520</v>
      </c>
      <c r="AX392" s="190"/>
      <c r="AY392" s="190"/>
      <c r="AZ392" s="190"/>
      <c r="BA392" s="190"/>
      <c r="BB392" s="190"/>
    </row>
    <row r="393" customFormat="false" ht="14.25" hidden="false" customHeight="true" outlineLevel="0" collapsed="false"/>
    <row r="394" customFormat="false" ht="14.25" hidden="false" customHeight="true" outlineLevel="0" collapsed="false"/>
    <row r="395" customFormat="false" ht="30" hidden="false" customHeight="true" outlineLevel="0" collapsed="false">
      <c r="A395" s="191" t="s">
        <v>1612</v>
      </c>
      <c r="B395" s="191"/>
      <c r="C395" s="191"/>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c r="AA395" s="191"/>
      <c r="AB395" s="191"/>
      <c r="AC395" s="191"/>
      <c r="AD395" s="191"/>
      <c r="AE395" s="191"/>
      <c r="AF395" s="191"/>
      <c r="AG395" s="191"/>
      <c r="AH395" s="191"/>
      <c r="AI395" s="191"/>
      <c r="AJ395" s="191"/>
      <c r="AK395" s="191"/>
      <c r="AL395" s="191"/>
      <c r="AM395" s="191"/>
      <c r="AN395" s="191"/>
    </row>
    <row r="396" customFormat="false" ht="30" hidden="false" customHeight="true" outlineLevel="0" collapsed="false">
      <c r="A396" s="192" t="s">
        <v>1897</v>
      </c>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row>
    <row r="397" customFormat="false" ht="132" hidden="false" customHeight="true" outlineLevel="0" collapsed="false">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row>
    <row r="399" customFormat="false" ht="20.25" hidden="true" customHeight="false" outlineLevel="0" collapsed="false">
      <c r="A399" s="193" t="s">
        <v>1898</v>
      </c>
      <c r="B399" s="193"/>
      <c r="C399" s="193"/>
      <c r="D399" s="193"/>
      <c r="E399" s="193"/>
      <c r="F399" s="193"/>
      <c r="G399" s="193"/>
      <c r="H399" s="193"/>
      <c r="I399" s="193"/>
      <c r="J399" s="193"/>
      <c r="K399" s="193"/>
    </row>
    <row r="400" customFormat="false" ht="19.5" hidden="true" customHeight="false" outlineLevel="0" collapsed="false">
      <c r="A400" s="187" t="s">
        <v>1899</v>
      </c>
      <c r="B400" s="187"/>
      <c r="C400" s="187"/>
      <c r="D400" s="187"/>
      <c r="E400" s="187"/>
      <c r="F400" s="187"/>
      <c r="G400" s="187"/>
      <c r="H400" s="187"/>
      <c r="I400" s="194" t="n">
        <v>0.085</v>
      </c>
      <c r="J400" s="194"/>
      <c r="K400" s="194"/>
    </row>
    <row r="401" customFormat="false" ht="19.5" hidden="true" customHeight="false" outlineLevel="0" collapsed="false">
      <c r="A401" s="187" t="s">
        <v>1900</v>
      </c>
      <c r="B401" s="187"/>
      <c r="C401" s="187"/>
      <c r="D401" s="187"/>
      <c r="E401" s="187"/>
      <c r="F401" s="187"/>
      <c r="G401" s="187"/>
      <c r="H401" s="187"/>
      <c r="I401" s="194" t="n">
        <v>0.12</v>
      </c>
      <c r="J401" s="194"/>
      <c r="K401" s="194"/>
    </row>
    <row r="402" customFormat="false" ht="19.5" hidden="true" customHeight="false" outlineLevel="0" collapsed="false">
      <c r="A402" s="187" t="s">
        <v>1901</v>
      </c>
      <c r="B402" s="187"/>
      <c r="C402" s="187"/>
      <c r="D402" s="187"/>
      <c r="E402" s="187"/>
      <c r="F402" s="187"/>
      <c r="G402" s="187"/>
      <c r="H402" s="187"/>
      <c r="I402" s="194" t="n">
        <v>0.0244</v>
      </c>
      <c r="J402" s="194"/>
      <c r="K402" s="194"/>
    </row>
    <row r="403" customFormat="false" ht="19.5" hidden="true" customHeight="false" outlineLevel="0" collapsed="false">
      <c r="A403" s="187" t="s">
        <v>1902</v>
      </c>
      <c r="B403" s="187"/>
      <c r="C403" s="187"/>
      <c r="D403" s="187"/>
      <c r="E403" s="187"/>
      <c r="F403" s="187"/>
      <c r="G403" s="187"/>
      <c r="H403" s="187"/>
      <c r="I403" s="194" t="n">
        <v>0.0833</v>
      </c>
      <c r="J403" s="194"/>
      <c r="K403" s="194"/>
    </row>
    <row r="404" customFormat="false" ht="19.5" hidden="true" customHeight="false" outlineLevel="0" collapsed="false">
      <c r="A404" s="187" t="s">
        <v>1903</v>
      </c>
      <c r="B404" s="187"/>
      <c r="C404" s="187"/>
      <c r="D404" s="187"/>
      <c r="E404" s="187"/>
      <c r="F404" s="187"/>
      <c r="G404" s="187"/>
      <c r="H404" s="187"/>
      <c r="I404" s="194" t="n">
        <v>0.01</v>
      </c>
      <c r="J404" s="194"/>
      <c r="K404" s="194"/>
    </row>
    <row r="405" customFormat="false" ht="19.5" hidden="true" customHeight="false" outlineLevel="0" collapsed="false">
      <c r="A405" s="187" t="s">
        <v>1904</v>
      </c>
      <c r="B405" s="187"/>
      <c r="C405" s="187"/>
      <c r="D405" s="187"/>
      <c r="E405" s="187"/>
      <c r="F405" s="187"/>
      <c r="G405" s="187"/>
      <c r="H405" s="187"/>
      <c r="I405" s="194" t="n">
        <v>0.0833</v>
      </c>
      <c r="J405" s="194"/>
      <c r="K405" s="194"/>
    </row>
    <row r="406" customFormat="false" ht="19.5" hidden="true" customHeight="false" outlineLevel="0" collapsed="false">
      <c r="A406" s="187" t="s">
        <v>1905</v>
      </c>
      <c r="B406" s="187"/>
      <c r="C406" s="187"/>
      <c r="D406" s="187"/>
      <c r="E406" s="187"/>
      <c r="F406" s="187"/>
      <c r="G406" s="187"/>
      <c r="H406" s="187"/>
      <c r="I406" s="194" t="n">
        <v>0.0416</v>
      </c>
      <c r="J406" s="194"/>
      <c r="K406" s="194"/>
    </row>
    <row r="407" customFormat="false" ht="19.5" hidden="true" customHeight="false" outlineLevel="0" collapsed="false">
      <c r="A407" s="187" t="s">
        <v>1906</v>
      </c>
      <c r="B407" s="187"/>
      <c r="C407" s="187"/>
      <c r="D407" s="187"/>
      <c r="E407" s="187"/>
      <c r="F407" s="187"/>
      <c r="G407" s="187"/>
      <c r="H407" s="187"/>
      <c r="I407" s="194" t="n">
        <v>0.09</v>
      </c>
      <c r="J407" s="194"/>
      <c r="K407" s="194"/>
    </row>
    <row r="408" customFormat="false" ht="20.25" hidden="true" customHeight="false" outlineLevel="0" collapsed="false">
      <c r="A408" s="195" t="s">
        <v>1809</v>
      </c>
      <c r="B408" s="195"/>
      <c r="C408" s="195"/>
      <c r="D408" s="195"/>
      <c r="E408" s="195"/>
      <c r="F408" s="195"/>
      <c r="G408" s="195"/>
      <c r="H408" s="195"/>
      <c r="I408" s="196" t="n">
        <f aca="false">SUM(I400:K407)</f>
        <v>0.5376</v>
      </c>
      <c r="J408" s="196"/>
      <c r="K408" s="196"/>
    </row>
    <row r="411" customFormat="false" ht="20.45" hidden="false" customHeight="true" outlineLevel="0" collapsed="false">
      <c r="A411" s="197" t="s">
        <v>1907</v>
      </c>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78"/>
      <c r="AS411" s="78"/>
    </row>
    <row r="413" customFormat="false" ht="54" hidden="false" customHeight="true" outlineLevel="0" collapsed="false">
      <c r="A413" s="198" t="s">
        <v>1908</v>
      </c>
      <c r="B413" s="198"/>
      <c r="C413" s="198"/>
      <c r="D413" s="198"/>
      <c r="E413" s="198"/>
      <c r="F413" s="198"/>
      <c r="G413" s="199" t="s">
        <v>1909</v>
      </c>
      <c r="H413" s="199"/>
      <c r="I413" s="199"/>
      <c r="J413" s="199"/>
      <c r="K413" s="199"/>
      <c r="L413" s="199"/>
      <c r="M413" s="86" t="s">
        <v>1910</v>
      </c>
      <c r="N413" s="86"/>
      <c r="O413" s="86"/>
      <c r="P413" s="86"/>
      <c r="Q413" s="86"/>
      <c r="R413" s="86"/>
      <c r="S413" s="86"/>
      <c r="T413" s="86"/>
      <c r="U413" s="86"/>
      <c r="V413" s="86"/>
      <c r="W413" s="86"/>
      <c r="X413" s="86"/>
      <c r="Y413" s="86"/>
      <c r="Z413" s="86"/>
      <c r="AA413" s="86"/>
      <c r="AB413" s="199" t="s">
        <v>1911</v>
      </c>
      <c r="AC413" s="199"/>
      <c r="AD413" s="199"/>
      <c r="AE413" s="199"/>
      <c r="AF413" s="199"/>
      <c r="AG413" s="199"/>
      <c r="AH413" s="200" t="s">
        <v>1898</v>
      </c>
      <c r="AI413" s="200"/>
      <c r="AJ413" s="200"/>
      <c r="AK413" s="88" t="s">
        <v>1912</v>
      </c>
      <c r="AL413" s="88"/>
      <c r="AM413" s="88"/>
      <c r="AN413" s="88"/>
      <c r="AO413" s="88"/>
      <c r="AP413" s="201" t="s">
        <v>1913</v>
      </c>
      <c r="AQ413" s="201"/>
      <c r="AR413" s="201"/>
    </row>
    <row r="414" customFormat="false" ht="96.95" hidden="false" customHeight="true" outlineLevel="0" collapsed="false">
      <c r="A414" s="135" t="s">
        <v>1914</v>
      </c>
      <c r="B414" s="135"/>
      <c r="C414" s="135"/>
      <c r="D414" s="135"/>
      <c r="E414" s="135"/>
      <c r="F414" s="135"/>
      <c r="G414" s="202" t="s">
        <v>1675</v>
      </c>
      <c r="H414" s="202"/>
      <c r="I414" s="202"/>
      <c r="J414" s="202"/>
      <c r="K414" s="202"/>
      <c r="L414" s="202"/>
      <c r="M414" s="180" t="s">
        <v>1915</v>
      </c>
      <c r="N414" s="180"/>
      <c r="O414" s="180"/>
      <c r="P414" s="180"/>
      <c r="Q414" s="180"/>
      <c r="R414" s="180"/>
      <c r="S414" s="180"/>
      <c r="T414" s="180"/>
      <c r="U414" s="180"/>
      <c r="V414" s="180"/>
      <c r="W414" s="180"/>
      <c r="X414" s="180"/>
      <c r="Y414" s="180"/>
      <c r="Z414" s="180"/>
      <c r="AA414" s="180"/>
      <c r="AB414" s="203" t="n">
        <v>3000000</v>
      </c>
      <c r="AC414" s="203"/>
      <c r="AD414" s="203"/>
      <c r="AE414" s="203"/>
      <c r="AF414" s="203"/>
      <c r="AG414" s="203"/>
      <c r="AH414" s="204" t="s">
        <v>1641</v>
      </c>
      <c r="AI414" s="204"/>
      <c r="AJ414" s="204"/>
      <c r="AK414" s="205" t="n">
        <f aca="false">IF(AH414="SI",AB414*(1+$I$408),AB414)</f>
        <v>4612800</v>
      </c>
      <c r="AL414" s="205"/>
      <c r="AM414" s="205"/>
      <c r="AN414" s="205"/>
      <c r="AO414" s="205"/>
      <c r="AP414" s="206" t="n">
        <v>4</v>
      </c>
      <c r="AQ414" s="206"/>
      <c r="AR414" s="206"/>
      <c r="AS414" s="75" t="n">
        <f aca="false">+IF(AK414&gt;0,1,0)</f>
        <v>1</v>
      </c>
    </row>
    <row r="415" customFormat="false" ht="96.95" hidden="false" customHeight="true" outlineLevel="0" collapsed="false">
      <c r="A415" s="135" t="s">
        <v>1916</v>
      </c>
      <c r="B415" s="135"/>
      <c r="C415" s="135"/>
      <c r="D415" s="135"/>
      <c r="E415" s="135"/>
      <c r="F415" s="135"/>
      <c r="G415" s="202" t="s">
        <v>1680</v>
      </c>
      <c r="H415" s="202"/>
      <c r="I415" s="202"/>
      <c r="J415" s="202"/>
      <c r="K415" s="202"/>
      <c r="L415" s="202"/>
      <c r="M415" s="180" t="s">
        <v>1917</v>
      </c>
      <c r="N415" s="180"/>
      <c r="O415" s="180"/>
      <c r="P415" s="180"/>
      <c r="Q415" s="180"/>
      <c r="R415" s="180"/>
      <c r="S415" s="180"/>
      <c r="T415" s="180"/>
      <c r="U415" s="180"/>
      <c r="V415" s="180"/>
      <c r="W415" s="180"/>
      <c r="X415" s="180"/>
      <c r="Y415" s="180"/>
      <c r="Z415" s="180"/>
      <c r="AA415" s="180"/>
      <c r="AB415" s="203" t="n">
        <v>500000</v>
      </c>
      <c r="AC415" s="203"/>
      <c r="AD415" s="203"/>
      <c r="AE415" s="203"/>
      <c r="AF415" s="203"/>
      <c r="AG415" s="203"/>
      <c r="AH415" s="204" t="s">
        <v>1644</v>
      </c>
      <c r="AI415" s="204"/>
      <c r="AJ415" s="204"/>
      <c r="AK415" s="205" t="n">
        <f aca="false">IF(AH415="SI",AB415*(1+$I$408),AB415)</f>
        <v>500000</v>
      </c>
      <c r="AL415" s="205"/>
      <c r="AM415" s="205"/>
      <c r="AN415" s="205"/>
      <c r="AO415" s="205"/>
      <c r="AP415" s="206" t="n">
        <v>6</v>
      </c>
      <c r="AQ415" s="206"/>
      <c r="AR415" s="206"/>
      <c r="AS415" s="75" t="n">
        <f aca="false">+IF(AK415&gt;0,1,0)</f>
        <v>1</v>
      </c>
    </row>
    <row r="416" customFormat="false" ht="96.95" hidden="false" customHeight="true" outlineLevel="0" collapsed="false">
      <c r="A416" s="135" t="s">
        <v>1918</v>
      </c>
      <c r="B416" s="135"/>
      <c r="C416" s="135"/>
      <c r="D416" s="135"/>
      <c r="E416" s="135"/>
      <c r="F416" s="135"/>
      <c r="G416" s="207" t="s">
        <v>1680</v>
      </c>
      <c r="H416" s="207"/>
      <c r="I416" s="207"/>
      <c r="J416" s="207"/>
      <c r="K416" s="207"/>
      <c r="L416" s="207"/>
      <c r="M416" s="180" t="s">
        <v>1919</v>
      </c>
      <c r="N416" s="180"/>
      <c r="O416" s="180"/>
      <c r="P416" s="180"/>
      <c r="Q416" s="180"/>
      <c r="R416" s="180"/>
      <c r="S416" s="180"/>
      <c r="T416" s="180"/>
      <c r="U416" s="180"/>
      <c r="V416" s="180"/>
      <c r="W416" s="180"/>
      <c r="X416" s="180"/>
      <c r="Y416" s="180"/>
      <c r="Z416" s="180"/>
      <c r="AA416" s="180"/>
      <c r="AB416" s="203" t="n">
        <v>1300000</v>
      </c>
      <c r="AC416" s="203"/>
      <c r="AD416" s="203"/>
      <c r="AE416" s="203"/>
      <c r="AF416" s="203"/>
      <c r="AG416" s="203"/>
      <c r="AH416" s="204" t="s">
        <v>1644</v>
      </c>
      <c r="AI416" s="204"/>
      <c r="AJ416" s="204"/>
      <c r="AK416" s="205" t="n">
        <f aca="false">IF(AH416="SI",AB416*(1+$I$408),AB416)</f>
        <v>1300000</v>
      </c>
      <c r="AL416" s="205"/>
      <c r="AM416" s="205"/>
      <c r="AN416" s="205"/>
      <c r="AO416" s="205"/>
      <c r="AP416" s="206" t="n">
        <v>6</v>
      </c>
      <c r="AQ416" s="206"/>
      <c r="AR416" s="206"/>
      <c r="AS416" s="75" t="n">
        <f aca="false">+IF(AK416&gt;0,1,0)</f>
        <v>1</v>
      </c>
    </row>
    <row r="417" customFormat="false" ht="96.95" hidden="false" customHeight="true" outlineLevel="0" collapsed="false">
      <c r="A417" s="135"/>
      <c r="B417" s="135"/>
      <c r="C417" s="135"/>
      <c r="D417" s="135"/>
      <c r="E417" s="135"/>
      <c r="F417" s="135"/>
      <c r="G417" s="202"/>
      <c r="H417" s="202"/>
      <c r="I417" s="202"/>
      <c r="J417" s="202"/>
      <c r="K417" s="202"/>
      <c r="L417" s="202"/>
      <c r="M417" s="180"/>
      <c r="N417" s="180"/>
      <c r="O417" s="180"/>
      <c r="P417" s="180"/>
      <c r="Q417" s="180"/>
      <c r="R417" s="180"/>
      <c r="S417" s="180"/>
      <c r="T417" s="180"/>
      <c r="U417" s="180"/>
      <c r="V417" s="180"/>
      <c r="W417" s="180"/>
      <c r="X417" s="180"/>
      <c r="Y417" s="180"/>
      <c r="Z417" s="180"/>
      <c r="AA417" s="180"/>
      <c r="AB417" s="203"/>
      <c r="AC417" s="203"/>
      <c r="AD417" s="203"/>
      <c r="AE417" s="203"/>
      <c r="AF417" s="203"/>
      <c r="AG417" s="203"/>
      <c r="AH417" s="204"/>
      <c r="AI417" s="204"/>
      <c r="AJ417" s="204"/>
      <c r="AK417" s="205" t="n">
        <f aca="false">IF(AH417="SI",AB417*(1+$I$408),AB417)</f>
        <v>0</v>
      </c>
      <c r="AL417" s="205"/>
      <c r="AM417" s="205"/>
      <c r="AN417" s="205"/>
      <c r="AO417" s="205"/>
      <c r="AP417" s="206"/>
      <c r="AQ417" s="206"/>
      <c r="AR417" s="206"/>
      <c r="AS417" s="75" t="n">
        <f aca="false">+IF(AK417&gt;0,1,0)</f>
        <v>0</v>
      </c>
    </row>
    <row r="418" customFormat="false" ht="96.95" hidden="false" customHeight="true" outlineLevel="0" collapsed="false">
      <c r="A418" s="135"/>
      <c r="B418" s="135"/>
      <c r="C418" s="135"/>
      <c r="D418" s="135"/>
      <c r="E418" s="135"/>
      <c r="F418" s="135"/>
      <c r="G418" s="202"/>
      <c r="H418" s="202"/>
      <c r="I418" s="202"/>
      <c r="J418" s="202"/>
      <c r="K418" s="202"/>
      <c r="L418" s="202"/>
      <c r="M418" s="180"/>
      <c r="N418" s="180"/>
      <c r="O418" s="180"/>
      <c r="P418" s="180"/>
      <c r="Q418" s="180"/>
      <c r="R418" s="180"/>
      <c r="S418" s="180"/>
      <c r="T418" s="180"/>
      <c r="U418" s="180"/>
      <c r="V418" s="180"/>
      <c r="W418" s="180"/>
      <c r="X418" s="180"/>
      <c r="Y418" s="180"/>
      <c r="Z418" s="180"/>
      <c r="AA418" s="180"/>
      <c r="AB418" s="203"/>
      <c r="AC418" s="203"/>
      <c r="AD418" s="203"/>
      <c r="AE418" s="203"/>
      <c r="AF418" s="203"/>
      <c r="AG418" s="203"/>
      <c r="AH418" s="204"/>
      <c r="AI418" s="204"/>
      <c r="AJ418" s="204"/>
      <c r="AK418" s="205" t="n">
        <f aca="false">IF(AH418="SI",AB418*(1+$I$408),AB418)</f>
        <v>0</v>
      </c>
      <c r="AL418" s="205"/>
      <c r="AM418" s="205"/>
      <c r="AN418" s="205"/>
      <c r="AO418" s="205"/>
      <c r="AP418" s="206"/>
      <c r="AQ418" s="206"/>
      <c r="AR418" s="206"/>
      <c r="AS418" s="75" t="n">
        <f aca="false">+IF(AK418&gt;0,1,0)</f>
        <v>0</v>
      </c>
    </row>
    <row r="419" customFormat="false" ht="96.95" hidden="false" customHeight="true" outlineLevel="0" collapsed="false">
      <c r="A419" s="135"/>
      <c r="B419" s="135"/>
      <c r="C419" s="135"/>
      <c r="D419" s="135"/>
      <c r="E419" s="135"/>
      <c r="F419" s="135"/>
      <c r="G419" s="202"/>
      <c r="H419" s="202"/>
      <c r="I419" s="202"/>
      <c r="J419" s="202"/>
      <c r="K419" s="202"/>
      <c r="L419" s="202"/>
      <c r="M419" s="180"/>
      <c r="N419" s="180"/>
      <c r="O419" s="180"/>
      <c r="P419" s="180"/>
      <c r="Q419" s="180"/>
      <c r="R419" s="180"/>
      <c r="S419" s="180"/>
      <c r="T419" s="180"/>
      <c r="U419" s="180"/>
      <c r="V419" s="180"/>
      <c r="W419" s="180"/>
      <c r="X419" s="180"/>
      <c r="Y419" s="180"/>
      <c r="Z419" s="180"/>
      <c r="AA419" s="180"/>
      <c r="AB419" s="203"/>
      <c r="AC419" s="203"/>
      <c r="AD419" s="203"/>
      <c r="AE419" s="203"/>
      <c r="AF419" s="203"/>
      <c r="AG419" s="203"/>
      <c r="AH419" s="204"/>
      <c r="AI419" s="204"/>
      <c r="AJ419" s="204"/>
      <c r="AK419" s="205" t="n">
        <f aca="false">IF(AH419="SI",AB419*(1+$I$408),AB419)</f>
        <v>0</v>
      </c>
      <c r="AL419" s="205"/>
      <c r="AM419" s="205"/>
      <c r="AN419" s="205"/>
      <c r="AO419" s="205"/>
      <c r="AP419" s="206"/>
      <c r="AQ419" s="206"/>
      <c r="AR419" s="206"/>
      <c r="AS419" s="75" t="n">
        <f aca="false">+IF(AK419&gt;0,1,0)</f>
        <v>0</v>
      </c>
    </row>
    <row r="420" customFormat="false" ht="96.95" hidden="false" customHeight="true" outlineLevel="0" collapsed="false">
      <c r="A420" s="135"/>
      <c r="B420" s="135"/>
      <c r="C420" s="135"/>
      <c r="D420" s="135"/>
      <c r="E420" s="135"/>
      <c r="F420" s="135"/>
      <c r="G420" s="202"/>
      <c r="H420" s="202"/>
      <c r="I420" s="202"/>
      <c r="J420" s="202"/>
      <c r="K420" s="202"/>
      <c r="L420" s="202"/>
      <c r="M420" s="180"/>
      <c r="N420" s="180"/>
      <c r="O420" s="180"/>
      <c r="P420" s="180"/>
      <c r="Q420" s="180"/>
      <c r="R420" s="180"/>
      <c r="S420" s="180"/>
      <c r="T420" s="180"/>
      <c r="U420" s="180"/>
      <c r="V420" s="180"/>
      <c r="W420" s="180"/>
      <c r="X420" s="180"/>
      <c r="Y420" s="180"/>
      <c r="Z420" s="180"/>
      <c r="AA420" s="180"/>
      <c r="AB420" s="203"/>
      <c r="AC420" s="203"/>
      <c r="AD420" s="203"/>
      <c r="AE420" s="203"/>
      <c r="AF420" s="203"/>
      <c r="AG420" s="203"/>
      <c r="AH420" s="204"/>
      <c r="AI420" s="204"/>
      <c r="AJ420" s="204"/>
      <c r="AK420" s="205" t="n">
        <f aca="false">IF(AH420="SI",AB420*(1+$I$408),AB420)</f>
        <v>0</v>
      </c>
      <c r="AL420" s="205"/>
      <c r="AM420" s="205"/>
      <c r="AN420" s="205"/>
      <c r="AO420" s="205"/>
      <c r="AP420" s="206"/>
      <c r="AQ420" s="206"/>
      <c r="AR420" s="206"/>
      <c r="AS420" s="75" t="n">
        <f aca="false">+IF(AK420&gt;0,1,0)</f>
        <v>0</v>
      </c>
    </row>
    <row r="421" customFormat="false" ht="96.95" hidden="false" customHeight="true" outlineLevel="0" collapsed="false">
      <c r="A421" s="135"/>
      <c r="B421" s="135"/>
      <c r="C421" s="135"/>
      <c r="D421" s="135"/>
      <c r="E421" s="135"/>
      <c r="F421" s="135"/>
      <c r="G421" s="202"/>
      <c r="H421" s="202"/>
      <c r="I421" s="202"/>
      <c r="J421" s="202"/>
      <c r="K421" s="202"/>
      <c r="L421" s="202"/>
      <c r="M421" s="180"/>
      <c r="N421" s="180"/>
      <c r="O421" s="180"/>
      <c r="P421" s="180"/>
      <c r="Q421" s="180"/>
      <c r="R421" s="180"/>
      <c r="S421" s="180"/>
      <c r="T421" s="180"/>
      <c r="U421" s="180"/>
      <c r="V421" s="180"/>
      <c r="W421" s="180"/>
      <c r="X421" s="180"/>
      <c r="Y421" s="180"/>
      <c r="Z421" s="180"/>
      <c r="AA421" s="180"/>
      <c r="AB421" s="203"/>
      <c r="AC421" s="203"/>
      <c r="AD421" s="203"/>
      <c r="AE421" s="203"/>
      <c r="AF421" s="203"/>
      <c r="AG421" s="203"/>
      <c r="AH421" s="204"/>
      <c r="AI421" s="204"/>
      <c r="AJ421" s="204"/>
      <c r="AK421" s="205" t="n">
        <f aca="false">IF(AH421="SI",AB421*(1+$I$408),AB421)</f>
        <v>0</v>
      </c>
      <c r="AL421" s="205"/>
      <c r="AM421" s="205"/>
      <c r="AN421" s="205"/>
      <c r="AO421" s="205"/>
      <c r="AP421" s="206"/>
      <c r="AQ421" s="206"/>
      <c r="AR421" s="206"/>
      <c r="AS421" s="75" t="n">
        <f aca="false">+IF(AK421&gt;0,1,0)</f>
        <v>0</v>
      </c>
    </row>
    <row r="422" customFormat="false" ht="96.95" hidden="false" customHeight="true" outlineLevel="0" collapsed="false">
      <c r="A422" s="135"/>
      <c r="B422" s="135"/>
      <c r="C422" s="135"/>
      <c r="D422" s="135"/>
      <c r="E422" s="135"/>
      <c r="F422" s="135"/>
      <c r="G422" s="202"/>
      <c r="H422" s="202"/>
      <c r="I422" s="202"/>
      <c r="J422" s="202"/>
      <c r="K422" s="202"/>
      <c r="L422" s="202"/>
      <c r="M422" s="180"/>
      <c r="N422" s="180"/>
      <c r="O422" s="180"/>
      <c r="P422" s="180"/>
      <c r="Q422" s="180"/>
      <c r="R422" s="180"/>
      <c r="S422" s="180"/>
      <c r="T422" s="180"/>
      <c r="U422" s="180"/>
      <c r="V422" s="180"/>
      <c r="W422" s="180"/>
      <c r="X422" s="180"/>
      <c r="Y422" s="180"/>
      <c r="Z422" s="180"/>
      <c r="AA422" s="180"/>
      <c r="AB422" s="203"/>
      <c r="AC422" s="203"/>
      <c r="AD422" s="203"/>
      <c r="AE422" s="203"/>
      <c r="AF422" s="203"/>
      <c r="AG422" s="203"/>
      <c r="AH422" s="204"/>
      <c r="AI422" s="204"/>
      <c r="AJ422" s="204"/>
      <c r="AK422" s="205" t="n">
        <f aca="false">IF(AH422="SI",AB422*(1+$I$408),AB422)</f>
        <v>0</v>
      </c>
      <c r="AL422" s="205"/>
      <c r="AM422" s="205"/>
      <c r="AN422" s="205"/>
      <c r="AO422" s="205"/>
      <c r="AP422" s="206"/>
      <c r="AQ422" s="206"/>
      <c r="AR422" s="206"/>
      <c r="AS422" s="75" t="n">
        <f aca="false">+IF(AK422&gt;0,1,0)</f>
        <v>0</v>
      </c>
    </row>
    <row r="423" customFormat="false" ht="96.95" hidden="false" customHeight="true" outlineLevel="0" collapsed="false">
      <c r="A423" s="135"/>
      <c r="B423" s="135"/>
      <c r="C423" s="135"/>
      <c r="D423" s="135"/>
      <c r="E423" s="135"/>
      <c r="F423" s="135"/>
      <c r="G423" s="202"/>
      <c r="H423" s="202"/>
      <c r="I423" s="202"/>
      <c r="J423" s="202"/>
      <c r="K423" s="202"/>
      <c r="L423" s="202"/>
      <c r="M423" s="180"/>
      <c r="N423" s="180"/>
      <c r="O423" s="180"/>
      <c r="P423" s="180"/>
      <c r="Q423" s="180"/>
      <c r="R423" s="180"/>
      <c r="S423" s="180"/>
      <c r="T423" s="180"/>
      <c r="U423" s="180"/>
      <c r="V423" s="180"/>
      <c r="W423" s="180"/>
      <c r="X423" s="180"/>
      <c r="Y423" s="180"/>
      <c r="Z423" s="180"/>
      <c r="AA423" s="180"/>
      <c r="AB423" s="203"/>
      <c r="AC423" s="203"/>
      <c r="AD423" s="203"/>
      <c r="AE423" s="203"/>
      <c r="AF423" s="203"/>
      <c r="AG423" s="203"/>
      <c r="AH423" s="204"/>
      <c r="AI423" s="204"/>
      <c r="AJ423" s="204"/>
      <c r="AK423" s="205" t="n">
        <f aca="false">IF(AH423="SI",AB423*(1+$I$408),AB423)</f>
        <v>0</v>
      </c>
      <c r="AL423" s="205"/>
      <c r="AM423" s="205"/>
      <c r="AN423" s="205"/>
      <c r="AO423" s="205"/>
      <c r="AP423" s="206"/>
      <c r="AQ423" s="206"/>
      <c r="AR423" s="206"/>
      <c r="AS423" s="75" t="n">
        <f aca="false">+IF(AK423&gt;0,1,0)</f>
        <v>0</v>
      </c>
    </row>
    <row r="424" customFormat="false" ht="58.5" hidden="false" customHeight="true" outlineLevel="0" collapsed="false">
      <c r="A424" s="208" t="s">
        <v>1809</v>
      </c>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c r="AK424" s="209" t="n">
        <f aca="false">+SUM(AK414:AO423)</f>
        <v>6412800</v>
      </c>
      <c r="AL424" s="209"/>
      <c r="AM424" s="209"/>
      <c r="AN424" s="209"/>
      <c r="AO424" s="209"/>
      <c r="AP424" s="209"/>
      <c r="AQ424" s="209"/>
      <c r="AR424" s="209"/>
    </row>
    <row r="425" customFormat="false" ht="32.25" hidden="false" customHeight="true" outlineLevel="0" collapsed="false"/>
    <row r="426" customFormat="false" ht="50.25" hidden="false" customHeight="true" outlineLevel="0" collapsed="false">
      <c r="A426" s="210" t="s">
        <v>1920</v>
      </c>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1" t="n">
        <v>2</v>
      </c>
      <c r="AD426" s="211"/>
      <c r="AE426" s="211"/>
      <c r="AF426" s="211"/>
      <c r="AG426" s="211"/>
      <c r="AH426" s="211"/>
    </row>
    <row r="427" customFormat="false" ht="32.25" hidden="false" customHeight="true" outlineLevel="0" collapsed="false"/>
    <row r="428" customFormat="false" ht="30" hidden="false" customHeight="true" outlineLevel="0" collapsed="false">
      <c r="A428" s="212" t="s">
        <v>1614</v>
      </c>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212"/>
      <c r="AK428" s="212"/>
      <c r="AL428" s="212"/>
      <c r="AM428" s="212"/>
      <c r="AN428" s="212"/>
    </row>
    <row r="430" customFormat="false" ht="348" hidden="false" customHeight="true" outlineLevel="0" collapsed="false">
      <c r="A430" s="54" t="s">
        <v>1921</v>
      </c>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c r="AL430" s="54"/>
      <c r="AM430" s="54"/>
      <c r="AN430" s="54"/>
      <c r="AO430" s="54"/>
    </row>
    <row r="431" customFormat="false" ht="26.25" hidden="false" customHeight="true" outlineLevel="0" collapsed="false">
      <c r="A431" s="167" t="s">
        <v>1922</v>
      </c>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c r="AA431" s="167"/>
      <c r="AB431" s="167"/>
      <c r="AC431" s="167"/>
      <c r="AD431" s="167"/>
      <c r="AE431" s="167"/>
      <c r="AF431" s="167"/>
      <c r="AG431" s="167"/>
      <c r="AH431" s="167"/>
      <c r="AI431" s="167"/>
      <c r="AJ431" s="167"/>
      <c r="AK431" s="167"/>
      <c r="AL431" s="167"/>
      <c r="AM431" s="167"/>
      <c r="AN431" s="167"/>
      <c r="AO431" s="167"/>
      <c r="AP431" s="167"/>
      <c r="AQ431" s="167"/>
      <c r="AR431" s="167"/>
    </row>
    <row r="432" customFormat="false" ht="216.95" hidden="false" customHeight="true" outlineLevel="0" collapsed="false">
      <c r="A432" s="119" t="s">
        <v>1923</v>
      </c>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row>
    <row r="433" customFormat="false" ht="52.5" hidden="false" customHeight="true" outlineLevel="0" collapsed="false">
      <c r="A433" s="100" t="s">
        <v>1924</v>
      </c>
      <c r="B433" s="100"/>
      <c r="C433" s="100"/>
      <c r="D433" s="100"/>
      <c r="E433" s="100"/>
      <c r="F433" s="100"/>
      <c r="G433" s="100"/>
      <c r="H433" s="100"/>
      <c r="I433" s="100"/>
      <c r="J433" s="156" t="s">
        <v>1747</v>
      </c>
      <c r="K433" s="156"/>
      <c r="L433" s="156"/>
      <c r="M433" s="156"/>
      <c r="N433" s="156"/>
      <c r="O433" s="156"/>
      <c r="P433" s="156"/>
      <c r="Q433" s="156"/>
      <c r="R433" s="156"/>
      <c r="S433" s="156"/>
      <c r="T433" s="156" t="s">
        <v>1925</v>
      </c>
      <c r="U433" s="156"/>
      <c r="V433" s="156"/>
      <c r="W433" s="156"/>
      <c r="X433" s="156"/>
      <c r="Y433" s="156"/>
      <c r="Z433" s="156"/>
      <c r="AA433" s="213" t="s">
        <v>1926</v>
      </c>
      <c r="AB433" s="213"/>
      <c r="AC433" s="213"/>
      <c r="AD433" s="156" t="s">
        <v>1882</v>
      </c>
      <c r="AE433" s="156"/>
      <c r="AF433" s="156"/>
      <c r="AG433" s="156"/>
      <c r="AH433" s="156"/>
      <c r="AI433" s="156"/>
      <c r="AJ433" s="156"/>
      <c r="AK433" s="156"/>
      <c r="AL433" s="156"/>
      <c r="AM433" s="214"/>
      <c r="AN433" s="214"/>
      <c r="AO433" s="215"/>
      <c r="AP433" s="215"/>
      <c r="AQ433" s="215"/>
      <c r="AR433" s="215"/>
      <c r="AS433" s="216"/>
      <c r="AT433" s="216"/>
      <c r="AU433" s="217" t="s">
        <v>1927</v>
      </c>
      <c r="AV433" s="217"/>
      <c r="AW433" s="217"/>
      <c r="AX433" s="217"/>
      <c r="AY433" s="217"/>
      <c r="AZ433" s="217"/>
      <c r="BA433" s="217"/>
      <c r="BB433" s="218" t="s">
        <v>1928</v>
      </c>
      <c r="BC433" s="218"/>
      <c r="BD433" s="218"/>
      <c r="BE433" s="219" t="s">
        <v>1929</v>
      </c>
      <c r="BF433" s="219"/>
      <c r="BG433" s="219"/>
      <c r="BH433" s="220"/>
      <c r="BI433" s="220"/>
      <c r="BJ433" s="220"/>
    </row>
    <row r="434" customFormat="false" ht="90.6" hidden="false" customHeight="true" outlineLevel="0" collapsed="false">
      <c r="A434" s="221" t="s">
        <v>1930</v>
      </c>
      <c r="B434" s="221"/>
      <c r="C434" s="221"/>
      <c r="D434" s="221"/>
      <c r="E434" s="221"/>
      <c r="F434" s="221"/>
      <c r="G434" s="221"/>
      <c r="H434" s="221"/>
      <c r="I434" s="221"/>
      <c r="J434" s="222" t="s">
        <v>1931</v>
      </c>
      <c r="K434" s="222"/>
      <c r="L434" s="222"/>
      <c r="M434" s="222"/>
      <c r="N434" s="222"/>
      <c r="O434" s="222"/>
      <c r="P434" s="222"/>
      <c r="Q434" s="222"/>
      <c r="R434" s="222"/>
      <c r="S434" s="222"/>
      <c r="T434" s="223" t="n">
        <v>3000000</v>
      </c>
      <c r="U434" s="223"/>
      <c r="V434" s="223"/>
      <c r="W434" s="223"/>
      <c r="X434" s="223"/>
      <c r="Y434" s="223"/>
      <c r="Z434" s="223"/>
      <c r="AA434" s="224" t="n">
        <v>1</v>
      </c>
      <c r="AB434" s="224"/>
      <c r="AC434" s="224"/>
      <c r="AD434" s="225" t="n">
        <f aca="false">+T434*AA434</f>
        <v>3000000</v>
      </c>
      <c r="AE434" s="225"/>
      <c r="AF434" s="225"/>
      <c r="AG434" s="225"/>
      <c r="AH434" s="225"/>
      <c r="AI434" s="225"/>
      <c r="AJ434" s="225"/>
      <c r="AK434" s="225"/>
      <c r="AL434" s="225"/>
      <c r="AM434" s="226"/>
      <c r="AN434" s="226"/>
      <c r="AO434" s="226"/>
      <c r="AP434" s="226"/>
      <c r="AQ434" s="226"/>
      <c r="AR434" s="226"/>
      <c r="AU434" s="227" t="s">
        <v>1932</v>
      </c>
      <c r="AV434" s="227"/>
      <c r="AW434" s="227"/>
      <c r="AX434" s="227"/>
      <c r="AY434" s="227"/>
      <c r="AZ434" s="227"/>
      <c r="BA434" s="227"/>
      <c r="BB434" s="228" t="n">
        <v>0.15</v>
      </c>
      <c r="BC434" s="228"/>
      <c r="BD434" s="228"/>
      <c r="BE434" s="229" t="n">
        <f aca="false">(SUMIF($A$461:$I$474,$AU$434,$AD$461:$AL$474)+SUMIF($A$434:$I$453,$AU$434,$AD$434:$AL$453))/($AD$454+$AD$475)</f>
        <v>0.0599079813406607</v>
      </c>
      <c r="BF434" s="229"/>
      <c r="BG434" s="229"/>
      <c r="BH434" s="230"/>
      <c r="BI434" s="230"/>
      <c r="BJ434" s="230"/>
    </row>
    <row r="435" customFormat="false" ht="90.6" hidden="false" customHeight="true" outlineLevel="0" collapsed="false">
      <c r="A435" s="231"/>
      <c r="B435" s="231"/>
      <c r="C435" s="231"/>
      <c r="D435" s="231"/>
      <c r="E435" s="231"/>
      <c r="F435" s="231"/>
      <c r="G435" s="231"/>
      <c r="H435" s="231"/>
      <c r="I435" s="231"/>
      <c r="J435" s="232"/>
      <c r="K435" s="232"/>
      <c r="L435" s="232"/>
      <c r="M435" s="232"/>
      <c r="N435" s="232"/>
      <c r="O435" s="232"/>
      <c r="P435" s="232"/>
      <c r="Q435" s="232"/>
      <c r="R435" s="232"/>
      <c r="S435" s="232"/>
      <c r="T435" s="233"/>
      <c r="U435" s="233"/>
      <c r="V435" s="233"/>
      <c r="W435" s="233"/>
      <c r="X435" s="233"/>
      <c r="Y435" s="233"/>
      <c r="Z435" s="233"/>
      <c r="AA435" s="234"/>
      <c r="AB435" s="234"/>
      <c r="AC435" s="234"/>
      <c r="AD435" s="225" t="n">
        <f aca="false">+T435*AA435</f>
        <v>0</v>
      </c>
      <c r="AE435" s="225"/>
      <c r="AF435" s="225"/>
      <c r="AG435" s="225"/>
      <c r="AH435" s="225"/>
      <c r="AI435" s="225"/>
      <c r="AJ435" s="225"/>
      <c r="AK435" s="225"/>
      <c r="AL435" s="225"/>
      <c r="AM435" s="226"/>
      <c r="AN435" s="226"/>
      <c r="AO435" s="226"/>
      <c r="AP435" s="226"/>
      <c r="AQ435" s="226"/>
      <c r="AR435" s="226"/>
      <c r="AU435" s="227" t="s">
        <v>1933</v>
      </c>
      <c r="AV435" s="227"/>
      <c r="AW435" s="227"/>
      <c r="AX435" s="227"/>
      <c r="AY435" s="227"/>
      <c r="AZ435" s="227"/>
      <c r="BA435" s="227"/>
      <c r="BB435" s="228" t="n">
        <v>0.2</v>
      </c>
      <c r="BC435" s="228"/>
      <c r="BD435" s="228"/>
      <c r="BE435" s="229" t="n">
        <f aca="false">(SUMIF($A$461:$I$474,$AU$435,$AD$461:$AL$474)+SUMIF($A$434:$I$453,$AU$435,$AD$434:$AL$453))/($AD$454+$AD$475)</f>
        <v>0</v>
      </c>
      <c r="BF435" s="229"/>
      <c r="BG435" s="229"/>
      <c r="BH435" s="235"/>
      <c r="BI435" s="235"/>
      <c r="BJ435" s="235"/>
    </row>
    <row r="436" customFormat="false" ht="90.6" hidden="false" customHeight="true" outlineLevel="0" collapsed="false">
      <c r="A436" s="221"/>
      <c r="B436" s="221"/>
      <c r="C436" s="221"/>
      <c r="D436" s="221"/>
      <c r="E436" s="221"/>
      <c r="F436" s="221"/>
      <c r="G436" s="221"/>
      <c r="H436" s="221"/>
      <c r="I436" s="221"/>
      <c r="J436" s="222"/>
      <c r="K436" s="222"/>
      <c r="L436" s="222"/>
      <c r="M436" s="222"/>
      <c r="N436" s="222"/>
      <c r="O436" s="222"/>
      <c r="P436" s="222"/>
      <c r="Q436" s="222"/>
      <c r="R436" s="222"/>
      <c r="S436" s="222"/>
      <c r="T436" s="223"/>
      <c r="U436" s="223"/>
      <c r="V436" s="223"/>
      <c r="W436" s="223"/>
      <c r="X436" s="223"/>
      <c r="Y436" s="223"/>
      <c r="Z436" s="223"/>
      <c r="AA436" s="236"/>
      <c r="AB436" s="236"/>
      <c r="AC436" s="236"/>
      <c r="AD436" s="225" t="n">
        <f aca="false">+T436*AA436</f>
        <v>0</v>
      </c>
      <c r="AE436" s="225"/>
      <c r="AF436" s="225"/>
      <c r="AG436" s="225"/>
      <c r="AH436" s="225"/>
      <c r="AI436" s="225"/>
      <c r="AJ436" s="225"/>
      <c r="AK436" s="225"/>
      <c r="AL436" s="225"/>
      <c r="AM436" s="226"/>
      <c r="AN436" s="226"/>
      <c r="AO436" s="226"/>
      <c r="AP436" s="226"/>
      <c r="AQ436" s="226"/>
      <c r="AR436" s="226"/>
      <c r="AU436" s="227" t="s">
        <v>1934</v>
      </c>
      <c r="AV436" s="227"/>
      <c r="AW436" s="227"/>
      <c r="AX436" s="227"/>
      <c r="AY436" s="227"/>
      <c r="AZ436" s="227"/>
      <c r="BA436" s="227"/>
      <c r="BB436" s="228" t="n">
        <v>0.5</v>
      </c>
      <c r="BC436" s="228"/>
      <c r="BD436" s="228"/>
      <c r="BE436" s="229" t="n">
        <f aca="false">(SUMIF($A$461:$I$474,$AU$436,$AD$461:$AL$474)+SUMIF($A$434:$I$453,$AU$436,$AD$434:$AL$453))/($AD$454+$AD$475)</f>
        <v>0</v>
      </c>
      <c r="BF436" s="229"/>
      <c r="BG436" s="229"/>
      <c r="BH436" s="235"/>
      <c r="BI436" s="235"/>
      <c r="BJ436" s="235"/>
    </row>
    <row r="437" customFormat="false" ht="90.6" hidden="false" customHeight="true" outlineLevel="0" collapsed="false">
      <c r="A437" s="221"/>
      <c r="B437" s="221"/>
      <c r="C437" s="221"/>
      <c r="D437" s="221"/>
      <c r="E437" s="221"/>
      <c r="F437" s="221"/>
      <c r="G437" s="221"/>
      <c r="H437" s="221"/>
      <c r="I437" s="221"/>
      <c r="J437" s="222"/>
      <c r="K437" s="222"/>
      <c r="L437" s="222"/>
      <c r="M437" s="222"/>
      <c r="N437" s="222"/>
      <c r="O437" s="222"/>
      <c r="P437" s="222"/>
      <c r="Q437" s="222"/>
      <c r="R437" s="222"/>
      <c r="S437" s="222"/>
      <c r="T437" s="237"/>
      <c r="U437" s="237"/>
      <c r="V437" s="237"/>
      <c r="W437" s="237"/>
      <c r="X437" s="237"/>
      <c r="Y437" s="237"/>
      <c r="Z437" s="237"/>
      <c r="AA437" s="238"/>
      <c r="AB437" s="238"/>
      <c r="AC437" s="238"/>
      <c r="AD437" s="225" t="n">
        <f aca="false">+T437*AA437</f>
        <v>0</v>
      </c>
      <c r="AE437" s="225"/>
      <c r="AF437" s="225"/>
      <c r="AG437" s="225"/>
      <c r="AH437" s="225"/>
      <c r="AI437" s="225"/>
      <c r="AJ437" s="225"/>
      <c r="AK437" s="225"/>
      <c r="AL437" s="225"/>
      <c r="AM437" s="226"/>
      <c r="AN437" s="226"/>
      <c r="AO437" s="226"/>
      <c r="AP437" s="226"/>
      <c r="AQ437" s="226"/>
      <c r="AR437" s="226"/>
      <c r="AS437" s="216"/>
      <c r="AT437" s="216"/>
      <c r="AU437" s="227" t="s">
        <v>1935</v>
      </c>
      <c r="AV437" s="227"/>
      <c r="AW437" s="227"/>
      <c r="AX437" s="227"/>
      <c r="AY437" s="227"/>
      <c r="AZ437" s="227"/>
      <c r="BA437" s="227"/>
      <c r="BB437" s="228" t="n">
        <v>0.2</v>
      </c>
      <c r="BC437" s="228"/>
      <c r="BD437" s="228"/>
      <c r="BE437" s="229" t="n">
        <f aca="false">(SUMIF($A$461:$I$474,$AU$437,$AD$461:$AL$474)+SUMIF($A$434:$I$453,$AU$437,$AD$434:$AL$453))/($AD$454+$AD$475)</f>
        <v>0</v>
      </c>
      <c r="BF437" s="229"/>
      <c r="BG437" s="229"/>
      <c r="BH437" s="235"/>
      <c r="BI437" s="235"/>
      <c r="BJ437" s="235"/>
    </row>
    <row r="438" customFormat="false" ht="90.6" hidden="false" customHeight="true" outlineLevel="0" collapsed="false">
      <c r="A438" s="221"/>
      <c r="B438" s="221"/>
      <c r="C438" s="221"/>
      <c r="D438" s="221"/>
      <c r="E438" s="221"/>
      <c r="F438" s="221"/>
      <c r="G438" s="221"/>
      <c r="H438" s="221"/>
      <c r="I438" s="221"/>
      <c r="J438" s="222"/>
      <c r="K438" s="222"/>
      <c r="L438" s="222"/>
      <c r="M438" s="222"/>
      <c r="N438" s="222"/>
      <c r="O438" s="222"/>
      <c r="P438" s="222"/>
      <c r="Q438" s="222"/>
      <c r="R438" s="222"/>
      <c r="S438" s="222"/>
      <c r="T438" s="146"/>
      <c r="U438" s="146"/>
      <c r="V438" s="146"/>
      <c r="W438" s="146"/>
      <c r="X438" s="146"/>
      <c r="Y438" s="146"/>
      <c r="Z438" s="146"/>
      <c r="AA438" s="236"/>
      <c r="AB438" s="236"/>
      <c r="AC438" s="236"/>
      <c r="AD438" s="225" t="n">
        <f aca="false">+T438*AA438</f>
        <v>0</v>
      </c>
      <c r="AE438" s="225"/>
      <c r="AF438" s="225"/>
      <c r="AG438" s="225"/>
      <c r="AH438" s="225"/>
      <c r="AI438" s="225"/>
      <c r="AJ438" s="225"/>
      <c r="AK438" s="225"/>
      <c r="AL438" s="225"/>
      <c r="AM438" s="226"/>
      <c r="AN438" s="226"/>
      <c r="AO438" s="226"/>
      <c r="AP438" s="226"/>
      <c r="AQ438" s="226"/>
      <c r="AR438" s="226"/>
      <c r="AS438" s="216"/>
      <c r="AT438" s="216"/>
      <c r="AU438" s="216"/>
      <c r="AV438" s="216"/>
    </row>
    <row r="439" customFormat="false" ht="90.6" hidden="false" customHeight="true" outlineLevel="0" collapsed="false">
      <c r="A439" s="221"/>
      <c r="B439" s="221"/>
      <c r="C439" s="221"/>
      <c r="D439" s="221"/>
      <c r="E439" s="221"/>
      <c r="F439" s="221"/>
      <c r="G439" s="221"/>
      <c r="H439" s="221"/>
      <c r="I439" s="221"/>
      <c r="J439" s="222"/>
      <c r="K439" s="222"/>
      <c r="L439" s="222"/>
      <c r="M439" s="222"/>
      <c r="N439" s="222"/>
      <c r="O439" s="222"/>
      <c r="P439" s="222"/>
      <c r="Q439" s="222"/>
      <c r="R439" s="222"/>
      <c r="S439" s="222"/>
      <c r="T439" s="146"/>
      <c r="U439" s="146"/>
      <c r="V439" s="146"/>
      <c r="W439" s="146"/>
      <c r="X439" s="146"/>
      <c r="Y439" s="146"/>
      <c r="Z439" s="146"/>
      <c r="AA439" s="236"/>
      <c r="AB439" s="236"/>
      <c r="AC439" s="236"/>
      <c r="AD439" s="225" t="n">
        <f aca="false">+T439*AA439</f>
        <v>0</v>
      </c>
      <c r="AE439" s="225"/>
      <c r="AF439" s="225"/>
      <c r="AG439" s="225"/>
      <c r="AH439" s="225"/>
      <c r="AI439" s="225"/>
      <c r="AJ439" s="225"/>
      <c r="AK439" s="225"/>
      <c r="AL439" s="225"/>
      <c r="AM439" s="226"/>
      <c r="AN439" s="226"/>
      <c r="AO439" s="226"/>
      <c r="AP439" s="226"/>
      <c r="AQ439" s="226"/>
      <c r="AR439" s="226"/>
      <c r="AS439" s="216"/>
      <c r="AT439" s="216"/>
      <c r="AU439" s="216"/>
      <c r="AV439" s="216"/>
    </row>
    <row r="440" customFormat="false" ht="90.6" hidden="false" customHeight="true" outlineLevel="0" collapsed="false">
      <c r="A440" s="221"/>
      <c r="B440" s="221"/>
      <c r="C440" s="221"/>
      <c r="D440" s="221"/>
      <c r="E440" s="221"/>
      <c r="F440" s="221"/>
      <c r="G440" s="221"/>
      <c r="H440" s="221"/>
      <c r="I440" s="221"/>
      <c r="J440" s="222"/>
      <c r="K440" s="222"/>
      <c r="L440" s="222"/>
      <c r="M440" s="222"/>
      <c r="N440" s="222"/>
      <c r="O440" s="222"/>
      <c r="P440" s="222"/>
      <c r="Q440" s="222"/>
      <c r="R440" s="222"/>
      <c r="S440" s="222"/>
      <c r="T440" s="146"/>
      <c r="U440" s="146"/>
      <c r="V440" s="146"/>
      <c r="W440" s="146"/>
      <c r="X440" s="146"/>
      <c r="Y440" s="146"/>
      <c r="Z440" s="146"/>
      <c r="AA440" s="236"/>
      <c r="AB440" s="236"/>
      <c r="AC440" s="236"/>
      <c r="AD440" s="225" t="n">
        <f aca="false">+T440*AA440</f>
        <v>0</v>
      </c>
      <c r="AE440" s="225"/>
      <c r="AF440" s="225"/>
      <c r="AG440" s="225"/>
      <c r="AH440" s="225"/>
      <c r="AI440" s="225"/>
      <c r="AJ440" s="225"/>
      <c r="AK440" s="225"/>
      <c r="AL440" s="225"/>
      <c r="AM440" s="226"/>
      <c r="AN440" s="226"/>
      <c r="AO440" s="226"/>
      <c r="AP440" s="226"/>
      <c r="AQ440" s="226"/>
      <c r="AR440" s="226"/>
      <c r="AS440" s="216"/>
      <c r="AT440" s="216"/>
      <c r="AU440" s="216"/>
      <c r="AV440" s="216"/>
    </row>
    <row r="441" customFormat="false" ht="90.6" hidden="false" customHeight="true" outlineLevel="0" collapsed="false">
      <c r="A441" s="221"/>
      <c r="B441" s="221"/>
      <c r="C441" s="221"/>
      <c r="D441" s="221"/>
      <c r="E441" s="221"/>
      <c r="F441" s="221"/>
      <c r="G441" s="221"/>
      <c r="H441" s="221"/>
      <c r="I441" s="221"/>
      <c r="J441" s="222"/>
      <c r="K441" s="222"/>
      <c r="L441" s="222"/>
      <c r="M441" s="222"/>
      <c r="N441" s="222"/>
      <c r="O441" s="222"/>
      <c r="P441" s="222"/>
      <c r="Q441" s="222"/>
      <c r="R441" s="222"/>
      <c r="S441" s="222"/>
      <c r="T441" s="146"/>
      <c r="U441" s="146"/>
      <c r="V441" s="146"/>
      <c r="W441" s="146"/>
      <c r="X441" s="146"/>
      <c r="Y441" s="146"/>
      <c r="Z441" s="146"/>
      <c r="AA441" s="236"/>
      <c r="AB441" s="236"/>
      <c r="AC441" s="236"/>
      <c r="AD441" s="225" t="n">
        <f aca="false">+T441*AA441</f>
        <v>0</v>
      </c>
      <c r="AE441" s="225"/>
      <c r="AF441" s="225"/>
      <c r="AG441" s="225"/>
      <c r="AH441" s="225"/>
      <c r="AI441" s="225"/>
      <c r="AJ441" s="225"/>
      <c r="AK441" s="225"/>
      <c r="AL441" s="225"/>
      <c r="AM441" s="226"/>
      <c r="AN441" s="226"/>
      <c r="AO441" s="226"/>
      <c r="AP441" s="226"/>
      <c r="AQ441" s="226"/>
      <c r="AR441" s="226"/>
    </row>
    <row r="442" customFormat="false" ht="90.6" hidden="false" customHeight="true" outlineLevel="0" collapsed="false">
      <c r="A442" s="221"/>
      <c r="B442" s="221"/>
      <c r="C442" s="221"/>
      <c r="D442" s="221"/>
      <c r="E442" s="221"/>
      <c r="F442" s="221"/>
      <c r="G442" s="221"/>
      <c r="H442" s="221"/>
      <c r="I442" s="221"/>
      <c r="J442" s="222"/>
      <c r="K442" s="222"/>
      <c r="L442" s="222"/>
      <c r="M442" s="222"/>
      <c r="N442" s="222"/>
      <c r="O442" s="222"/>
      <c r="P442" s="222"/>
      <c r="Q442" s="222"/>
      <c r="R442" s="222"/>
      <c r="S442" s="222"/>
      <c r="T442" s="146"/>
      <c r="U442" s="146"/>
      <c r="V442" s="146"/>
      <c r="W442" s="146"/>
      <c r="X442" s="146"/>
      <c r="Y442" s="146"/>
      <c r="Z442" s="146"/>
      <c r="AA442" s="236"/>
      <c r="AB442" s="236"/>
      <c r="AC442" s="236"/>
      <c r="AD442" s="225" t="n">
        <f aca="false">+T442*AA442</f>
        <v>0</v>
      </c>
      <c r="AE442" s="225"/>
      <c r="AF442" s="225"/>
      <c r="AG442" s="225"/>
      <c r="AH442" s="225"/>
      <c r="AI442" s="225"/>
      <c r="AJ442" s="225"/>
      <c r="AK442" s="225"/>
      <c r="AL442" s="225"/>
      <c r="AM442" s="226"/>
      <c r="AN442" s="226"/>
      <c r="AO442" s="226"/>
      <c r="AP442" s="226"/>
      <c r="AQ442" s="226"/>
      <c r="AR442" s="226"/>
    </row>
    <row r="443" customFormat="false" ht="90.6" hidden="false" customHeight="true" outlineLevel="0" collapsed="false">
      <c r="A443" s="221"/>
      <c r="B443" s="221"/>
      <c r="C443" s="221"/>
      <c r="D443" s="221"/>
      <c r="E443" s="221"/>
      <c r="F443" s="221"/>
      <c r="G443" s="221"/>
      <c r="H443" s="221"/>
      <c r="I443" s="221"/>
      <c r="J443" s="222"/>
      <c r="K443" s="222"/>
      <c r="L443" s="222"/>
      <c r="M443" s="222"/>
      <c r="N443" s="222"/>
      <c r="O443" s="222"/>
      <c r="P443" s="222"/>
      <c r="Q443" s="222"/>
      <c r="R443" s="222"/>
      <c r="S443" s="222"/>
      <c r="T443" s="146"/>
      <c r="U443" s="146"/>
      <c r="V443" s="146"/>
      <c r="W443" s="146"/>
      <c r="X443" s="146"/>
      <c r="Y443" s="146"/>
      <c r="Z443" s="146"/>
      <c r="AA443" s="236"/>
      <c r="AB443" s="236"/>
      <c r="AC443" s="236"/>
      <c r="AD443" s="225" t="n">
        <f aca="false">+T443*AA443</f>
        <v>0</v>
      </c>
      <c r="AE443" s="225"/>
      <c r="AF443" s="225"/>
      <c r="AG443" s="225"/>
      <c r="AH443" s="225"/>
      <c r="AI443" s="225"/>
      <c r="AJ443" s="225"/>
      <c r="AK443" s="225"/>
      <c r="AL443" s="225"/>
      <c r="AM443" s="226"/>
      <c r="AN443" s="226"/>
      <c r="AO443" s="226"/>
      <c r="AP443" s="226"/>
      <c r="AQ443" s="226"/>
      <c r="AR443" s="226"/>
    </row>
    <row r="444" customFormat="false" ht="90.6" hidden="false" customHeight="true" outlineLevel="0" collapsed="false">
      <c r="A444" s="221"/>
      <c r="B444" s="221"/>
      <c r="C444" s="221"/>
      <c r="D444" s="221"/>
      <c r="E444" s="221"/>
      <c r="F444" s="221"/>
      <c r="G444" s="221"/>
      <c r="H444" s="221"/>
      <c r="I444" s="221"/>
      <c r="J444" s="222"/>
      <c r="K444" s="222"/>
      <c r="L444" s="222"/>
      <c r="M444" s="222"/>
      <c r="N444" s="222"/>
      <c r="O444" s="222"/>
      <c r="P444" s="222"/>
      <c r="Q444" s="222"/>
      <c r="R444" s="222"/>
      <c r="S444" s="222"/>
      <c r="T444" s="146"/>
      <c r="U444" s="146"/>
      <c r="V444" s="146"/>
      <c r="W444" s="146"/>
      <c r="X444" s="146"/>
      <c r="Y444" s="146"/>
      <c r="Z444" s="146"/>
      <c r="AA444" s="236"/>
      <c r="AB444" s="236"/>
      <c r="AC444" s="236"/>
      <c r="AD444" s="225" t="n">
        <f aca="false">+T444*AA444</f>
        <v>0</v>
      </c>
      <c r="AE444" s="225"/>
      <c r="AF444" s="225"/>
      <c r="AG444" s="225"/>
      <c r="AH444" s="225"/>
      <c r="AI444" s="225"/>
      <c r="AJ444" s="225"/>
      <c r="AK444" s="225"/>
      <c r="AL444" s="225"/>
      <c r="AM444" s="226"/>
      <c r="AN444" s="226"/>
      <c r="AO444" s="226"/>
      <c r="AP444" s="226"/>
      <c r="AQ444" s="226"/>
      <c r="AR444" s="226"/>
    </row>
    <row r="445" customFormat="false" ht="90.6" hidden="false" customHeight="true" outlineLevel="0" collapsed="false">
      <c r="A445" s="221"/>
      <c r="B445" s="221"/>
      <c r="C445" s="221"/>
      <c r="D445" s="221"/>
      <c r="E445" s="221"/>
      <c r="F445" s="221"/>
      <c r="G445" s="221"/>
      <c r="H445" s="221"/>
      <c r="I445" s="221"/>
      <c r="J445" s="222"/>
      <c r="K445" s="222"/>
      <c r="L445" s="222"/>
      <c r="M445" s="222"/>
      <c r="N445" s="222"/>
      <c r="O445" s="222"/>
      <c r="P445" s="222"/>
      <c r="Q445" s="222"/>
      <c r="R445" s="222"/>
      <c r="S445" s="222"/>
      <c r="T445" s="146"/>
      <c r="U445" s="146"/>
      <c r="V445" s="146"/>
      <c r="W445" s="146"/>
      <c r="X445" s="146"/>
      <c r="Y445" s="146"/>
      <c r="Z445" s="146"/>
      <c r="AA445" s="236"/>
      <c r="AB445" s="236"/>
      <c r="AC445" s="236"/>
      <c r="AD445" s="225" t="n">
        <f aca="false">+T445*AA445</f>
        <v>0</v>
      </c>
      <c r="AE445" s="225"/>
      <c r="AF445" s="225"/>
      <c r="AG445" s="225"/>
      <c r="AH445" s="225"/>
      <c r="AI445" s="225"/>
      <c r="AJ445" s="225"/>
      <c r="AK445" s="225"/>
      <c r="AL445" s="225"/>
      <c r="AM445" s="226"/>
      <c r="AN445" s="226"/>
      <c r="AO445" s="226"/>
      <c r="AP445" s="226"/>
      <c r="AQ445" s="226"/>
      <c r="AR445" s="226"/>
    </row>
    <row r="446" customFormat="false" ht="90.6" hidden="false" customHeight="true" outlineLevel="0" collapsed="false">
      <c r="A446" s="221"/>
      <c r="B446" s="221"/>
      <c r="C446" s="221"/>
      <c r="D446" s="221"/>
      <c r="E446" s="221"/>
      <c r="F446" s="221"/>
      <c r="G446" s="221"/>
      <c r="H446" s="221"/>
      <c r="I446" s="221"/>
      <c r="J446" s="222"/>
      <c r="K446" s="222"/>
      <c r="L446" s="222"/>
      <c r="M446" s="222"/>
      <c r="N446" s="222"/>
      <c r="O446" s="222"/>
      <c r="P446" s="222"/>
      <c r="Q446" s="222"/>
      <c r="R446" s="222"/>
      <c r="S446" s="222"/>
      <c r="T446" s="146"/>
      <c r="U446" s="146"/>
      <c r="V446" s="146"/>
      <c r="W446" s="146"/>
      <c r="X446" s="146"/>
      <c r="Y446" s="146"/>
      <c r="Z446" s="146"/>
      <c r="AA446" s="236"/>
      <c r="AB446" s="236"/>
      <c r="AC446" s="236"/>
      <c r="AD446" s="225" t="n">
        <f aca="false">+T446*AA446</f>
        <v>0</v>
      </c>
      <c r="AE446" s="225"/>
      <c r="AF446" s="225"/>
      <c r="AG446" s="225"/>
      <c r="AH446" s="225"/>
      <c r="AI446" s="225"/>
      <c r="AJ446" s="225"/>
      <c r="AK446" s="225"/>
      <c r="AL446" s="225"/>
      <c r="AM446" s="226"/>
      <c r="AN446" s="226"/>
      <c r="AO446" s="226"/>
      <c r="AP446" s="226"/>
      <c r="AQ446" s="226"/>
      <c r="AR446" s="226"/>
    </row>
    <row r="447" customFormat="false" ht="90.6" hidden="false" customHeight="true" outlineLevel="0" collapsed="false">
      <c r="A447" s="221"/>
      <c r="B447" s="221"/>
      <c r="C447" s="221"/>
      <c r="D447" s="221"/>
      <c r="E447" s="221"/>
      <c r="F447" s="221"/>
      <c r="G447" s="221"/>
      <c r="H447" s="221"/>
      <c r="I447" s="221"/>
      <c r="J447" s="222"/>
      <c r="K447" s="222"/>
      <c r="L447" s="222"/>
      <c r="M447" s="222"/>
      <c r="N447" s="222"/>
      <c r="O447" s="222"/>
      <c r="P447" s="222"/>
      <c r="Q447" s="222"/>
      <c r="R447" s="222"/>
      <c r="S447" s="222"/>
      <c r="T447" s="146"/>
      <c r="U447" s="146"/>
      <c r="V447" s="146"/>
      <c r="W447" s="146"/>
      <c r="X447" s="146"/>
      <c r="Y447" s="146"/>
      <c r="Z447" s="146"/>
      <c r="AA447" s="236"/>
      <c r="AB447" s="236"/>
      <c r="AC447" s="236"/>
      <c r="AD447" s="225" t="n">
        <f aca="false">+T447*AA447</f>
        <v>0</v>
      </c>
      <c r="AE447" s="225"/>
      <c r="AF447" s="225"/>
      <c r="AG447" s="225"/>
      <c r="AH447" s="225"/>
      <c r="AI447" s="225"/>
      <c r="AJ447" s="225"/>
      <c r="AK447" s="225"/>
      <c r="AL447" s="225"/>
      <c r="AM447" s="226"/>
      <c r="AN447" s="226"/>
      <c r="AO447" s="226"/>
      <c r="AP447" s="226"/>
      <c r="AQ447" s="226"/>
      <c r="AR447" s="226"/>
    </row>
    <row r="448" customFormat="false" ht="90.6" hidden="false" customHeight="true" outlineLevel="0" collapsed="false">
      <c r="A448" s="221"/>
      <c r="B448" s="221"/>
      <c r="C448" s="221"/>
      <c r="D448" s="221"/>
      <c r="E448" s="221"/>
      <c r="F448" s="221"/>
      <c r="G448" s="221"/>
      <c r="H448" s="221"/>
      <c r="I448" s="221"/>
      <c r="J448" s="222"/>
      <c r="K448" s="222"/>
      <c r="L448" s="222"/>
      <c r="M448" s="222"/>
      <c r="N448" s="222"/>
      <c r="O448" s="222"/>
      <c r="P448" s="222"/>
      <c r="Q448" s="222"/>
      <c r="R448" s="222"/>
      <c r="S448" s="222"/>
      <c r="T448" s="146"/>
      <c r="U448" s="146"/>
      <c r="V448" s="146"/>
      <c r="W448" s="146"/>
      <c r="X448" s="146"/>
      <c r="Y448" s="146"/>
      <c r="Z448" s="146"/>
      <c r="AA448" s="236"/>
      <c r="AB448" s="236"/>
      <c r="AC448" s="236"/>
      <c r="AD448" s="225" t="n">
        <f aca="false">+T448*AA448</f>
        <v>0</v>
      </c>
      <c r="AE448" s="225"/>
      <c r="AF448" s="225"/>
      <c r="AG448" s="225"/>
      <c r="AH448" s="225"/>
      <c r="AI448" s="225"/>
      <c r="AJ448" s="225"/>
      <c r="AK448" s="225"/>
      <c r="AL448" s="225"/>
      <c r="AM448" s="226"/>
      <c r="AN448" s="226"/>
      <c r="AO448" s="226"/>
      <c r="AP448" s="226"/>
      <c r="AQ448" s="226"/>
      <c r="AR448" s="226"/>
    </row>
    <row r="449" customFormat="false" ht="90.6" hidden="false" customHeight="true" outlineLevel="0" collapsed="false">
      <c r="A449" s="221"/>
      <c r="B449" s="221"/>
      <c r="C449" s="221"/>
      <c r="D449" s="221"/>
      <c r="E449" s="221"/>
      <c r="F449" s="221"/>
      <c r="G449" s="221"/>
      <c r="H449" s="221"/>
      <c r="I449" s="221"/>
      <c r="J449" s="222"/>
      <c r="K449" s="222"/>
      <c r="L449" s="222"/>
      <c r="M449" s="222"/>
      <c r="N449" s="222"/>
      <c r="O449" s="222"/>
      <c r="P449" s="222"/>
      <c r="Q449" s="222"/>
      <c r="R449" s="222"/>
      <c r="S449" s="222"/>
      <c r="T449" s="146"/>
      <c r="U449" s="146"/>
      <c r="V449" s="146"/>
      <c r="W449" s="146"/>
      <c r="X449" s="146"/>
      <c r="Y449" s="146"/>
      <c r="Z449" s="146"/>
      <c r="AA449" s="236"/>
      <c r="AB449" s="236"/>
      <c r="AC449" s="236"/>
      <c r="AD449" s="225" t="n">
        <f aca="false">+T449*AA449</f>
        <v>0</v>
      </c>
      <c r="AE449" s="225"/>
      <c r="AF449" s="225"/>
      <c r="AG449" s="225"/>
      <c r="AH449" s="225"/>
      <c r="AI449" s="225"/>
      <c r="AJ449" s="225"/>
      <c r="AK449" s="225"/>
      <c r="AL449" s="225"/>
      <c r="AM449" s="226"/>
      <c r="AN449" s="226"/>
      <c r="AO449" s="226"/>
      <c r="AP449" s="226"/>
      <c r="AQ449" s="226"/>
      <c r="AR449" s="226"/>
    </row>
    <row r="450" customFormat="false" ht="90.6" hidden="false" customHeight="true" outlineLevel="0" collapsed="false">
      <c r="A450" s="221"/>
      <c r="B450" s="221"/>
      <c r="C450" s="221"/>
      <c r="D450" s="221"/>
      <c r="E450" s="221"/>
      <c r="F450" s="221"/>
      <c r="G450" s="221"/>
      <c r="H450" s="221"/>
      <c r="I450" s="221"/>
      <c r="J450" s="222"/>
      <c r="K450" s="222"/>
      <c r="L450" s="222"/>
      <c r="M450" s="222"/>
      <c r="N450" s="222"/>
      <c r="O450" s="222"/>
      <c r="P450" s="222"/>
      <c r="Q450" s="222"/>
      <c r="R450" s="222"/>
      <c r="S450" s="222"/>
      <c r="T450" s="146"/>
      <c r="U450" s="146"/>
      <c r="V450" s="146"/>
      <c r="W450" s="146"/>
      <c r="X450" s="146"/>
      <c r="Y450" s="146"/>
      <c r="Z450" s="146"/>
      <c r="AA450" s="236"/>
      <c r="AB450" s="236"/>
      <c r="AC450" s="236"/>
      <c r="AD450" s="225" t="n">
        <f aca="false">+T450*AA450</f>
        <v>0</v>
      </c>
      <c r="AE450" s="225"/>
      <c r="AF450" s="225"/>
      <c r="AG450" s="225"/>
      <c r="AH450" s="225"/>
      <c r="AI450" s="225"/>
      <c r="AJ450" s="225"/>
      <c r="AK450" s="225"/>
      <c r="AL450" s="225"/>
      <c r="AM450" s="226"/>
      <c r="AN450" s="226"/>
      <c r="AO450" s="226"/>
      <c r="AP450" s="226"/>
      <c r="AQ450" s="226"/>
      <c r="AR450" s="226"/>
    </row>
    <row r="451" customFormat="false" ht="90.6" hidden="false" customHeight="true" outlineLevel="0" collapsed="false">
      <c r="A451" s="221"/>
      <c r="B451" s="221"/>
      <c r="C451" s="221"/>
      <c r="D451" s="221"/>
      <c r="E451" s="221"/>
      <c r="F451" s="221"/>
      <c r="G451" s="221"/>
      <c r="H451" s="221"/>
      <c r="I451" s="221"/>
      <c r="J451" s="222"/>
      <c r="K451" s="222"/>
      <c r="L451" s="222"/>
      <c r="M451" s="222"/>
      <c r="N451" s="222"/>
      <c r="O451" s="222"/>
      <c r="P451" s="222"/>
      <c r="Q451" s="222"/>
      <c r="R451" s="222"/>
      <c r="S451" s="222"/>
      <c r="T451" s="146"/>
      <c r="U451" s="146"/>
      <c r="V451" s="146"/>
      <c r="W451" s="146"/>
      <c r="X451" s="146"/>
      <c r="Y451" s="146"/>
      <c r="Z451" s="146"/>
      <c r="AA451" s="236"/>
      <c r="AB451" s="236"/>
      <c r="AC451" s="236"/>
      <c r="AD451" s="225" t="n">
        <f aca="false">+T451*AA451</f>
        <v>0</v>
      </c>
      <c r="AE451" s="225"/>
      <c r="AF451" s="225"/>
      <c r="AG451" s="225"/>
      <c r="AH451" s="225"/>
      <c r="AI451" s="225"/>
      <c r="AJ451" s="225"/>
      <c r="AK451" s="225"/>
      <c r="AL451" s="225"/>
      <c r="AM451" s="226"/>
      <c r="AN451" s="226"/>
      <c r="AO451" s="226"/>
      <c r="AP451" s="226"/>
      <c r="AQ451" s="226"/>
      <c r="AR451" s="226"/>
    </row>
    <row r="452" customFormat="false" ht="90.6" hidden="false" customHeight="true" outlineLevel="0" collapsed="false">
      <c r="A452" s="221"/>
      <c r="B452" s="221"/>
      <c r="C452" s="221"/>
      <c r="D452" s="221"/>
      <c r="E452" s="221"/>
      <c r="F452" s="221"/>
      <c r="G452" s="221"/>
      <c r="H452" s="221"/>
      <c r="I452" s="221"/>
      <c r="J452" s="222"/>
      <c r="K452" s="222"/>
      <c r="L452" s="222"/>
      <c r="M452" s="222"/>
      <c r="N452" s="222"/>
      <c r="O452" s="222"/>
      <c r="P452" s="222"/>
      <c r="Q452" s="222"/>
      <c r="R452" s="222"/>
      <c r="S452" s="222"/>
      <c r="T452" s="146"/>
      <c r="U452" s="146"/>
      <c r="V452" s="146"/>
      <c r="W452" s="146"/>
      <c r="X452" s="146"/>
      <c r="Y452" s="146"/>
      <c r="Z452" s="146"/>
      <c r="AA452" s="236"/>
      <c r="AB452" s="236"/>
      <c r="AC452" s="236"/>
      <c r="AD452" s="225" t="n">
        <f aca="false">+T452*AA452</f>
        <v>0</v>
      </c>
      <c r="AE452" s="225"/>
      <c r="AF452" s="225"/>
      <c r="AG452" s="225"/>
      <c r="AH452" s="225"/>
      <c r="AI452" s="225"/>
      <c r="AJ452" s="225"/>
      <c r="AK452" s="225"/>
      <c r="AL452" s="225"/>
      <c r="AM452" s="226"/>
      <c r="AN452" s="226"/>
      <c r="AO452" s="226"/>
      <c r="AP452" s="226"/>
      <c r="AQ452" s="226"/>
      <c r="AR452" s="226"/>
    </row>
    <row r="453" customFormat="false" ht="90.6" hidden="false" customHeight="true" outlineLevel="0" collapsed="false">
      <c r="A453" s="221"/>
      <c r="B453" s="221"/>
      <c r="C453" s="221"/>
      <c r="D453" s="221"/>
      <c r="E453" s="221"/>
      <c r="F453" s="221"/>
      <c r="G453" s="221"/>
      <c r="H453" s="221"/>
      <c r="I453" s="221"/>
      <c r="J453" s="222"/>
      <c r="K453" s="222"/>
      <c r="L453" s="222"/>
      <c r="M453" s="222"/>
      <c r="N453" s="222"/>
      <c r="O453" s="222"/>
      <c r="P453" s="222"/>
      <c r="Q453" s="222"/>
      <c r="R453" s="222"/>
      <c r="S453" s="222"/>
      <c r="T453" s="146"/>
      <c r="U453" s="146"/>
      <c r="V453" s="146"/>
      <c r="W453" s="146"/>
      <c r="X453" s="146"/>
      <c r="Y453" s="146"/>
      <c r="Z453" s="146"/>
      <c r="AA453" s="236"/>
      <c r="AB453" s="236"/>
      <c r="AC453" s="236"/>
      <c r="AD453" s="239" t="n">
        <f aca="false">+T453*AA453</f>
        <v>0</v>
      </c>
      <c r="AE453" s="239"/>
      <c r="AF453" s="239"/>
      <c r="AG453" s="239"/>
      <c r="AH453" s="239"/>
      <c r="AI453" s="239"/>
      <c r="AJ453" s="239"/>
      <c r="AK453" s="239"/>
      <c r="AL453" s="239"/>
      <c r="AM453" s="226"/>
      <c r="AN453" s="226"/>
      <c r="AO453" s="226"/>
      <c r="AP453" s="226"/>
      <c r="AQ453" s="226"/>
      <c r="AR453" s="226"/>
    </row>
    <row r="454" customFormat="false" ht="39.95" hidden="false" customHeight="true" outlineLevel="0" collapsed="false">
      <c r="A454" s="147" t="s">
        <v>1936</v>
      </c>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c r="AA454" s="147"/>
      <c r="AB454" s="147"/>
      <c r="AC454" s="147"/>
      <c r="AD454" s="174" t="n">
        <f aca="false">SUM(AD434:AL453)</f>
        <v>3000000</v>
      </c>
      <c r="AE454" s="174"/>
      <c r="AF454" s="174"/>
      <c r="AG454" s="174"/>
      <c r="AH454" s="174"/>
      <c r="AI454" s="174"/>
      <c r="AJ454" s="174"/>
      <c r="AK454" s="174"/>
      <c r="AL454" s="174"/>
      <c r="AM454" s="226"/>
      <c r="AN454" s="226"/>
      <c r="AO454" s="226"/>
      <c r="AP454" s="226"/>
      <c r="AQ454" s="226"/>
      <c r="AR454" s="226"/>
    </row>
    <row r="455" customFormat="false" ht="45" hidden="false" customHeight="true" outlineLevel="0" collapsed="false">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240"/>
      <c r="AF455" s="240"/>
      <c r="AG455" s="240"/>
      <c r="AH455" s="240"/>
      <c r="AI455" s="240"/>
      <c r="AJ455" s="240"/>
      <c r="AK455" s="240"/>
      <c r="AL455" s="240"/>
      <c r="AM455" s="240"/>
      <c r="AN455" s="240"/>
    </row>
    <row r="456" customFormat="false" ht="147" hidden="false" customHeight="true" outlineLevel="0" collapsed="false">
      <c r="A456" s="241" t="s">
        <v>1937</v>
      </c>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1"/>
      <c r="AN456" s="241"/>
      <c r="AO456" s="241"/>
      <c r="AP456" s="241"/>
      <c r="AQ456" s="241"/>
      <c r="AR456" s="241"/>
    </row>
    <row r="458" customFormat="false" ht="26.25" hidden="false" customHeight="true" outlineLevel="0" collapsed="false">
      <c r="A458" s="167" t="s">
        <v>1938</v>
      </c>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c r="AA458" s="167"/>
      <c r="AB458" s="167"/>
      <c r="AC458" s="167"/>
      <c r="AD458" s="167"/>
      <c r="AE458" s="167"/>
      <c r="AF458" s="167"/>
      <c r="AG458" s="167"/>
      <c r="AH458" s="167"/>
      <c r="AI458" s="167"/>
      <c r="AJ458" s="167"/>
      <c r="AK458" s="167"/>
      <c r="AL458" s="167"/>
      <c r="AM458" s="242"/>
      <c r="AN458" s="242"/>
      <c r="AO458" s="242"/>
      <c r="AP458" s="242"/>
      <c r="AQ458" s="242"/>
      <c r="AR458" s="242"/>
    </row>
    <row r="459" customFormat="false" ht="52.5" hidden="false" customHeight="true" outlineLevel="0" collapsed="false">
      <c r="A459" s="100" t="s">
        <v>1924</v>
      </c>
      <c r="B459" s="100"/>
      <c r="C459" s="100"/>
      <c r="D459" s="100"/>
      <c r="E459" s="100"/>
      <c r="F459" s="100"/>
      <c r="G459" s="100"/>
      <c r="H459" s="100"/>
      <c r="I459" s="100"/>
      <c r="J459" s="156" t="s">
        <v>1747</v>
      </c>
      <c r="K459" s="156"/>
      <c r="L459" s="156"/>
      <c r="M459" s="156"/>
      <c r="N459" s="156"/>
      <c r="O459" s="156"/>
      <c r="P459" s="156"/>
      <c r="Q459" s="156"/>
      <c r="R459" s="156"/>
      <c r="S459" s="156"/>
      <c r="T459" s="243" t="s">
        <v>1925</v>
      </c>
      <c r="U459" s="243"/>
      <c r="V459" s="243"/>
      <c r="W459" s="243"/>
      <c r="X459" s="243"/>
      <c r="Y459" s="243"/>
      <c r="Z459" s="243"/>
      <c r="AA459" s="244" t="s">
        <v>1926</v>
      </c>
      <c r="AB459" s="244"/>
      <c r="AC459" s="244"/>
      <c r="AD459" s="156" t="s">
        <v>1939</v>
      </c>
      <c r="AE459" s="156"/>
      <c r="AF459" s="156"/>
      <c r="AG459" s="156"/>
      <c r="AH459" s="156"/>
      <c r="AI459" s="156"/>
      <c r="AJ459" s="156"/>
      <c r="AK459" s="156"/>
      <c r="AL459" s="156"/>
      <c r="AM459" s="214"/>
      <c r="AN459" s="214"/>
      <c r="AO459" s="215"/>
      <c r="AP459" s="215"/>
      <c r="AQ459" s="215"/>
      <c r="AR459" s="215"/>
      <c r="AU459" s="245"/>
      <c r="AV459" s="245"/>
      <c r="AW459" s="245"/>
      <c r="AX459" s="245"/>
      <c r="AY459" s="245"/>
      <c r="AZ459" s="245"/>
      <c r="BA459" s="245"/>
      <c r="BB459" s="246"/>
      <c r="BC459" s="246"/>
      <c r="BD459" s="247"/>
      <c r="BE459" s="247"/>
      <c r="BF459" s="247"/>
      <c r="BG459" s="246"/>
      <c r="BH459" s="246"/>
      <c r="BI459" s="246"/>
      <c r="BJ459" s="247"/>
    </row>
    <row r="460" customFormat="false" ht="39.95" hidden="false" customHeight="true" outlineLevel="0" collapsed="false">
      <c r="A460" s="248" t="s">
        <v>1940</v>
      </c>
      <c r="B460" s="248"/>
      <c r="C460" s="248"/>
      <c r="D460" s="248"/>
      <c r="E460" s="248"/>
      <c r="F460" s="248"/>
      <c r="G460" s="248"/>
      <c r="H460" s="248"/>
      <c r="I460" s="248"/>
      <c r="J460" s="248"/>
      <c r="K460" s="248"/>
      <c r="L460" s="248"/>
      <c r="M460" s="248"/>
      <c r="N460" s="248"/>
      <c r="O460" s="248"/>
      <c r="P460" s="248"/>
      <c r="Q460" s="248"/>
      <c r="R460" s="248"/>
      <c r="S460" s="248"/>
      <c r="T460" s="249" t="n">
        <f aca="false">+(AG226+AG234+AG241)</f>
        <v>7200000</v>
      </c>
      <c r="U460" s="249"/>
      <c r="V460" s="249"/>
      <c r="W460" s="249"/>
      <c r="X460" s="249"/>
      <c r="Y460" s="249"/>
      <c r="Z460" s="249"/>
      <c r="AA460" s="112" t="n">
        <v>1</v>
      </c>
      <c r="AB460" s="112"/>
      <c r="AC460" s="112"/>
      <c r="AD460" s="225" t="n">
        <f aca="false">+AA460*T460</f>
        <v>7200000</v>
      </c>
      <c r="AE460" s="225"/>
      <c r="AF460" s="225"/>
      <c r="AG460" s="225"/>
      <c r="AH460" s="225"/>
      <c r="AI460" s="225"/>
      <c r="AJ460" s="225"/>
      <c r="AK460" s="225"/>
      <c r="AL460" s="225"/>
      <c r="AM460" s="250"/>
      <c r="AN460" s="250"/>
      <c r="AO460" s="250"/>
      <c r="AP460" s="250"/>
      <c r="AQ460" s="250"/>
      <c r="AR460" s="250"/>
      <c r="AU460" s="251"/>
      <c r="AV460" s="251"/>
      <c r="AW460" s="251"/>
      <c r="AX460" s="251"/>
      <c r="AY460" s="251"/>
      <c r="AZ460" s="251"/>
      <c r="BA460" s="251"/>
      <c r="BB460" s="252"/>
      <c r="BC460" s="252"/>
      <c r="BD460" s="252"/>
      <c r="BE460" s="252"/>
      <c r="BF460" s="252"/>
      <c r="BG460" s="253"/>
      <c r="BH460" s="253"/>
      <c r="BI460" s="253"/>
      <c r="BJ460" s="253"/>
    </row>
    <row r="461" customFormat="false" ht="90.6" hidden="false" customHeight="true" outlineLevel="0" collapsed="false">
      <c r="A461" s="221" t="s">
        <v>1932</v>
      </c>
      <c r="B461" s="221"/>
      <c r="C461" s="221"/>
      <c r="D461" s="221"/>
      <c r="E461" s="221"/>
      <c r="F461" s="221"/>
      <c r="G461" s="221"/>
      <c r="H461" s="221"/>
      <c r="I461" s="221"/>
      <c r="J461" s="222" t="s">
        <v>1941</v>
      </c>
      <c r="K461" s="222"/>
      <c r="L461" s="222"/>
      <c r="M461" s="222"/>
      <c r="N461" s="222"/>
      <c r="O461" s="222"/>
      <c r="P461" s="222"/>
      <c r="Q461" s="222"/>
      <c r="R461" s="222"/>
      <c r="S461" s="222"/>
      <c r="T461" s="146" t="n">
        <v>500000</v>
      </c>
      <c r="U461" s="146"/>
      <c r="V461" s="146"/>
      <c r="W461" s="146"/>
      <c r="X461" s="146"/>
      <c r="Y461" s="146"/>
      <c r="Z461" s="146"/>
      <c r="AA461" s="236" t="n">
        <v>9</v>
      </c>
      <c r="AB461" s="236"/>
      <c r="AC461" s="236"/>
      <c r="AD461" s="225" t="n">
        <f aca="false">+AA461*T461</f>
        <v>4500000</v>
      </c>
      <c r="AE461" s="225"/>
      <c r="AF461" s="225"/>
      <c r="AG461" s="225"/>
      <c r="AH461" s="225"/>
      <c r="AI461" s="225"/>
      <c r="AJ461" s="225"/>
      <c r="AK461" s="225"/>
      <c r="AL461" s="225"/>
      <c r="AM461" s="250"/>
      <c r="AN461" s="250"/>
      <c r="AO461" s="250"/>
      <c r="AP461" s="250"/>
      <c r="AQ461" s="250"/>
      <c r="AR461" s="250"/>
      <c r="AU461" s="251"/>
      <c r="AV461" s="251"/>
      <c r="AW461" s="251"/>
      <c r="AX461" s="251"/>
      <c r="AY461" s="251"/>
      <c r="AZ461" s="251"/>
      <c r="BA461" s="251"/>
      <c r="BB461" s="252"/>
      <c r="BC461" s="254"/>
      <c r="BD461" s="247"/>
      <c r="BE461" s="247"/>
      <c r="BF461" s="247"/>
      <c r="BG461" s="254"/>
      <c r="BH461" s="247"/>
      <c r="BI461" s="247"/>
      <c r="BJ461" s="247"/>
    </row>
    <row r="462" customFormat="false" ht="90.6" hidden="false" customHeight="true" outlineLevel="0" collapsed="false">
      <c r="A462" s="221" t="s">
        <v>1942</v>
      </c>
      <c r="B462" s="221"/>
      <c r="C462" s="221"/>
      <c r="D462" s="221"/>
      <c r="E462" s="221"/>
      <c r="F462" s="221"/>
      <c r="G462" s="221"/>
      <c r="H462" s="221"/>
      <c r="I462" s="221"/>
      <c r="J462" s="222" t="s">
        <v>1943</v>
      </c>
      <c r="K462" s="222"/>
      <c r="L462" s="222"/>
      <c r="M462" s="222"/>
      <c r="N462" s="222"/>
      <c r="O462" s="222"/>
      <c r="P462" s="222"/>
      <c r="Q462" s="222"/>
      <c r="R462" s="222"/>
      <c r="S462" s="222"/>
      <c r="T462" s="255" t="n">
        <v>6412800</v>
      </c>
      <c r="U462" s="255"/>
      <c r="V462" s="255"/>
      <c r="W462" s="255"/>
      <c r="X462" s="255"/>
      <c r="Y462" s="255"/>
      <c r="Z462" s="255"/>
      <c r="AA462" s="221" t="n">
        <v>9</v>
      </c>
      <c r="AB462" s="221"/>
      <c r="AC462" s="221"/>
      <c r="AD462" s="225" t="n">
        <f aca="false">+AA462*T462</f>
        <v>57715200</v>
      </c>
      <c r="AE462" s="225"/>
      <c r="AF462" s="225"/>
      <c r="AG462" s="225"/>
      <c r="AH462" s="225"/>
      <c r="AI462" s="225"/>
      <c r="AJ462" s="225"/>
      <c r="AK462" s="225"/>
      <c r="AL462" s="225"/>
      <c r="AM462" s="250"/>
      <c r="AN462" s="250"/>
      <c r="AO462" s="250"/>
      <c r="AP462" s="250"/>
      <c r="AQ462" s="250"/>
      <c r="AR462" s="250"/>
      <c r="AU462" s="251"/>
      <c r="AV462" s="251"/>
      <c r="AW462" s="251"/>
      <c r="AX462" s="251"/>
      <c r="AY462" s="251"/>
      <c r="AZ462" s="251"/>
      <c r="BA462" s="251"/>
      <c r="BB462" s="256"/>
      <c r="BC462" s="254"/>
      <c r="BD462" s="247"/>
      <c r="BE462" s="247"/>
      <c r="BF462" s="247"/>
      <c r="BG462" s="254"/>
      <c r="BH462" s="247"/>
      <c r="BI462" s="247"/>
      <c r="BJ462" s="247"/>
    </row>
    <row r="463" customFormat="false" ht="90.6" hidden="false" customHeight="true" outlineLevel="0" collapsed="false">
      <c r="A463" s="231" t="s">
        <v>1944</v>
      </c>
      <c r="B463" s="231"/>
      <c r="C463" s="231"/>
      <c r="D463" s="231"/>
      <c r="E463" s="231"/>
      <c r="F463" s="231"/>
      <c r="G463" s="231"/>
      <c r="H463" s="231"/>
      <c r="I463" s="231"/>
      <c r="J463" s="232" t="s">
        <v>1945</v>
      </c>
      <c r="K463" s="232"/>
      <c r="L463" s="232"/>
      <c r="M463" s="232"/>
      <c r="N463" s="232"/>
      <c r="O463" s="232"/>
      <c r="P463" s="232"/>
      <c r="Q463" s="232"/>
      <c r="R463" s="232"/>
      <c r="S463" s="232"/>
      <c r="T463" s="233" t="n">
        <v>300000</v>
      </c>
      <c r="U463" s="233"/>
      <c r="V463" s="233"/>
      <c r="W463" s="233"/>
      <c r="X463" s="233"/>
      <c r="Y463" s="233"/>
      <c r="Z463" s="233"/>
      <c r="AA463" s="234" t="n">
        <v>9</v>
      </c>
      <c r="AB463" s="234"/>
      <c r="AC463" s="234"/>
      <c r="AD463" s="225" t="n">
        <f aca="false">+AA463*T463</f>
        <v>2700000</v>
      </c>
      <c r="AE463" s="225"/>
      <c r="AF463" s="225"/>
      <c r="AG463" s="225"/>
      <c r="AH463" s="225"/>
      <c r="AI463" s="225"/>
      <c r="AJ463" s="225"/>
      <c r="AK463" s="225"/>
      <c r="AL463" s="225"/>
      <c r="AM463" s="250"/>
      <c r="AN463" s="250"/>
      <c r="AO463" s="250"/>
      <c r="AP463" s="250"/>
      <c r="AQ463" s="250"/>
      <c r="AR463" s="250"/>
      <c r="AU463" s="251"/>
      <c r="AV463" s="251"/>
      <c r="AW463" s="251"/>
      <c r="AX463" s="251"/>
      <c r="AY463" s="251"/>
      <c r="AZ463" s="251"/>
      <c r="BA463" s="251"/>
      <c r="BB463" s="256"/>
      <c r="BC463" s="254"/>
      <c r="BD463" s="247"/>
      <c r="BE463" s="247"/>
      <c r="BF463" s="247"/>
      <c r="BG463" s="254"/>
      <c r="BH463" s="247"/>
      <c r="BI463" s="247"/>
      <c r="BJ463" s="247"/>
    </row>
    <row r="464" customFormat="false" ht="90.6" hidden="false" customHeight="true" outlineLevel="0" collapsed="false">
      <c r="A464" s="221"/>
      <c r="B464" s="221"/>
      <c r="C464" s="221"/>
      <c r="D464" s="221"/>
      <c r="E464" s="221"/>
      <c r="F464" s="221"/>
      <c r="G464" s="221"/>
      <c r="H464" s="221"/>
      <c r="I464" s="221"/>
      <c r="J464" s="222"/>
      <c r="K464" s="222"/>
      <c r="L464" s="222"/>
      <c r="M464" s="222"/>
      <c r="N464" s="222"/>
      <c r="O464" s="222"/>
      <c r="P464" s="222"/>
      <c r="Q464" s="222"/>
      <c r="R464" s="222"/>
      <c r="S464" s="222"/>
      <c r="T464" s="146"/>
      <c r="U464" s="146"/>
      <c r="V464" s="146"/>
      <c r="W464" s="146"/>
      <c r="X464" s="146"/>
      <c r="Y464" s="146"/>
      <c r="Z464" s="146"/>
      <c r="AA464" s="236"/>
      <c r="AB464" s="236"/>
      <c r="AC464" s="236"/>
      <c r="AD464" s="225" t="n">
        <f aca="false">+AA464*T464</f>
        <v>0</v>
      </c>
      <c r="AE464" s="225"/>
      <c r="AF464" s="225"/>
      <c r="AG464" s="225"/>
      <c r="AH464" s="225"/>
      <c r="AI464" s="225"/>
      <c r="AJ464" s="225"/>
      <c r="AK464" s="225"/>
      <c r="AL464" s="225"/>
      <c r="AM464" s="250"/>
      <c r="AN464" s="250"/>
      <c r="AO464" s="250"/>
      <c r="AP464" s="250"/>
      <c r="AQ464" s="250"/>
      <c r="AR464" s="250"/>
      <c r="AU464" s="247"/>
      <c r="AV464" s="247"/>
      <c r="AW464" s="257"/>
      <c r="AX464" s="247"/>
      <c r="AY464" s="247"/>
      <c r="AZ464" s="247"/>
      <c r="BA464" s="247"/>
      <c r="BB464" s="247"/>
      <c r="BC464" s="247"/>
      <c r="BD464" s="247"/>
      <c r="BE464" s="247"/>
      <c r="BF464" s="247"/>
      <c r="BG464" s="247"/>
      <c r="BH464" s="247"/>
      <c r="BI464" s="247"/>
      <c r="BJ464" s="247"/>
    </row>
    <row r="465" customFormat="false" ht="90.6" hidden="false" customHeight="true" outlineLevel="0" collapsed="false">
      <c r="A465" s="221"/>
      <c r="B465" s="221"/>
      <c r="C465" s="221"/>
      <c r="D465" s="221"/>
      <c r="E465" s="221"/>
      <c r="F465" s="221"/>
      <c r="G465" s="221"/>
      <c r="H465" s="221"/>
      <c r="I465" s="221"/>
      <c r="J465" s="222"/>
      <c r="K465" s="222"/>
      <c r="L465" s="222"/>
      <c r="M465" s="222"/>
      <c r="N465" s="222"/>
      <c r="O465" s="222"/>
      <c r="P465" s="222"/>
      <c r="Q465" s="222"/>
      <c r="R465" s="222"/>
      <c r="S465" s="222"/>
      <c r="T465" s="146"/>
      <c r="U465" s="146"/>
      <c r="V465" s="146"/>
      <c r="W465" s="146"/>
      <c r="X465" s="146"/>
      <c r="Y465" s="146"/>
      <c r="Z465" s="146"/>
      <c r="AA465" s="236"/>
      <c r="AB465" s="236"/>
      <c r="AC465" s="236"/>
      <c r="AD465" s="225" t="n">
        <f aca="false">+AA465*T465</f>
        <v>0</v>
      </c>
      <c r="AE465" s="225"/>
      <c r="AF465" s="225"/>
      <c r="AG465" s="225"/>
      <c r="AH465" s="225"/>
      <c r="AI465" s="225"/>
      <c r="AJ465" s="225"/>
      <c r="AK465" s="225"/>
      <c r="AL465" s="225"/>
      <c r="AM465" s="250"/>
      <c r="AN465" s="250"/>
      <c r="AO465" s="250"/>
      <c r="AP465" s="250"/>
      <c r="AQ465" s="250"/>
      <c r="AR465" s="250"/>
      <c r="AU465" s="247"/>
      <c r="AV465" s="247"/>
      <c r="AW465" s="257"/>
      <c r="AX465" s="247"/>
      <c r="AY465" s="247"/>
      <c r="AZ465" s="247"/>
      <c r="BA465" s="247"/>
      <c r="BB465" s="247"/>
      <c r="BC465" s="247"/>
      <c r="BD465" s="247"/>
      <c r="BE465" s="247"/>
      <c r="BF465" s="247"/>
      <c r="BG465" s="247"/>
      <c r="BH465" s="247"/>
      <c r="BI465" s="247"/>
      <c r="BJ465" s="247"/>
    </row>
    <row r="466" customFormat="false" ht="90.6" hidden="false" customHeight="true" outlineLevel="0" collapsed="false">
      <c r="A466" s="221"/>
      <c r="B466" s="221"/>
      <c r="C466" s="221"/>
      <c r="D466" s="221"/>
      <c r="E466" s="221"/>
      <c r="F466" s="221"/>
      <c r="G466" s="221"/>
      <c r="H466" s="221"/>
      <c r="I466" s="221"/>
      <c r="J466" s="222"/>
      <c r="K466" s="222"/>
      <c r="L466" s="222"/>
      <c r="M466" s="222"/>
      <c r="N466" s="222"/>
      <c r="O466" s="222"/>
      <c r="P466" s="222"/>
      <c r="Q466" s="222"/>
      <c r="R466" s="222"/>
      <c r="S466" s="222"/>
      <c r="T466" s="146"/>
      <c r="U466" s="146"/>
      <c r="V466" s="146"/>
      <c r="W466" s="146"/>
      <c r="X466" s="146"/>
      <c r="Y466" s="146"/>
      <c r="Z466" s="146"/>
      <c r="AA466" s="236"/>
      <c r="AB466" s="236"/>
      <c r="AC466" s="236"/>
      <c r="AD466" s="225" t="n">
        <f aca="false">+AA466*T466</f>
        <v>0</v>
      </c>
      <c r="AE466" s="225"/>
      <c r="AF466" s="225"/>
      <c r="AG466" s="225"/>
      <c r="AH466" s="225"/>
      <c r="AI466" s="225"/>
      <c r="AJ466" s="225"/>
      <c r="AK466" s="225"/>
      <c r="AL466" s="225"/>
      <c r="AM466" s="250"/>
      <c r="AN466" s="250"/>
      <c r="AO466" s="250"/>
      <c r="AP466" s="250"/>
      <c r="AQ466" s="250"/>
      <c r="AR466" s="250"/>
      <c r="AU466" s="247"/>
      <c r="AV466" s="247"/>
      <c r="AW466" s="257"/>
      <c r="AX466" s="247"/>
      <c r="AY466" s="247"/>
      <c r="AZ466" s="247"/>
      <c r="BA466" s="247"/>
      <c r="BB466" s="247"/>
      <c r="BC466" s="247"/>
      <c r="BD466" s="247"/>
      <c r="BE466" s="247"/>
      <c r="BF466" s="247"/>
      <c r="BG466" s="247"/>
      <c r="BH466" s="247"/>
      <c r="BI466" s="247"/>
      <c r="BJ466" s="247"/>
    </row>
    <row r="467" customFormat="false" ht="90.6" hidden="false" customHeight="true" outlineLevel="0" collapsed="false">
      <c r="A467" s="221"/>
      <c r="B467" s="221"/>
      <c r="C467" s="221"/>
      <c r="D467" s="221"/>
      <c r="E467" s="221"/>
      <c r="F467" s="221"/>
      <c r="G467" s="221"/>
      <c r="H467" s="221"/>
      <c r="I467" s="221"/>
      <c r="J467" s="222"/>
      <c r="K467" s="222"/>
      <c r="L467" s="222"/>
      <c r="M467" s="222"/>
      <c r="N467" s="222"/>
      <c r="O467" s="222"/>
      <c r="P467" s="222"/>
      <c r="Q467" s="222"/>
      <c r="R467" s="222"/>
      <c r="S467" s="222"/>
      <c r="T467" s="146"/>
      <c r="U467" s="146"/>
      <c r="V467" s="146"/>
      <c r="W467" s="146"/>
      <c r="X467" s="146"/>
      <c r="Y467" s="146"/>
      <c r="Z467" s="146"/>
      <c r="AA467" s="236"/>
      <c r="AB467" s="236"/>
      <c r="AC467" s="236"/>
      <c r="AD467" s="225" t="n">
        <f aca="false">+AA467*T467</f>
        <v>0</v>
      </c>
      <c r="AE467" s="225"/>
      <c r="AF467" s="225"/>
      <c r="AG467" s="225"/>
      <c r="AH467" s="225"/>
      <c r="AI467" s="225"/>
      <c r="AJ467" s="225"/>
      <c r="AK467" s="225"/>
      <c r="AL467" s="225"/>
      <c r="AM467" s="250"/>
      <c r="AN467" s="250"/>
      <c r="AO467" s="250"/>
      <c r="AP467" s="250"/>
      <c r="AQ467" s="250"/>
      <c r="AR467" s="250"/>
      <c r="AU467" s="247"/>
      <c r="AV467" s="247"/>
      <c r="AW467" s="257"/>
      <c r="AX467" s="247"/>
      <c r="AY467" s="247"/>
      <c r="AZ467" s="247"/>
      <c r="BA467" s="247"/>
      <c r="BB467" s="247"/>
      <c r="BC467" s="247"/>
      <c r="BD467" s="247"/>
      <c r="BE467" s="247"/>
      <c r="BF467" s="247"/>
      <c r="BG467" s="247"/>
      <c r="BH467" s="247"/>
      <c r="BI467" s="247"/>
      <c r="BJ467" s="247"/>
    </row>
    <row r="468" customFormat="false" ht="90.6" hidden="false" customHeight="true" outlineLevel="0" collapsed="false">
      <c r="A468" s="221"/>
      <c r="B468" s="221"/>
      <c r="C468" s="221"/>
      <c r="D468" s="221"/>
      <c r="E468" s="221"/>
      <c r="F468" s="221"/>
      <c r="G468" s="221"/>
      <c r="H468" s="221"/>
      <c r="I468" s="221"/>
      <c r="J468" s="222"/>
      <c r="K468" s="222"/>
      <c r="L468" s="222"/>
      <c r="M468" s="222"/>
      <c r="N468" s="222"/>
      <c r="O468" s="222"/>
      <c r="P468" s="222"/>
      <c r="Q468" s="222"/>
      <c r="R468" s="222"/>
      <c r="S468" s="222"/>
      <c r="T468" s="146"/>
      <c r="U468" s="146"/>
      <c r="V468" s="146"/>
      <c r="W468" s="146"/>
      <c r="X468" s="146"/>
      <c r="Y468" s="146"/>
      <c r="Z468" s="146"/>
      <c r="AA468" s="236"/>
      <c r="AB468" s="236"/>
      <c r="AC468" s="236"/>
      <c r="AD468" s="225" t="n">
        <f aca="false">+AA468*T468</f>
        <v>0</v>
      </c>
      <c r="AE468" s="225"/>
      <c r="AF468" s="225"/>
      <c r="AG468" s="225"/>
      <c r="AH468" s="225"/>
      <c r="AI468" s="225"/>
      <c r="AJ468" s="225"/>
      <c r="AK468" s="225"/>
      <c r="AL468" s="225"/>
      <c r="AM468" s="250"/>
      <c r="AN468" s="250"/>
      <c r="AO468" s="250"/>
      <c r="AP468" s="250"/>
      <c r="AQ468" s="250"/>
      <c r="AR468" s="250"/>
    </row>
    <row r="469" customFormat="false" ht="90.6" hidden="false" customHeight="true" outlineLevel="0" collapsed="false">
      <c r="A469" s="221"/>
      <c r="B469" s="221"/>
      <c r="C469" s="221"/>
      <c r="D469" s="221"/>
      <c r="E469" s="221"/>
      <c r="F469" s="221"/>
      <c r="G469" s="221"/>
      <c r="H469" s="221"/>
      <c r="I469" s="221"/>
      <c r="J469" s="222"/>
      <c r="K469" s="222"/>
      <c r="L469" s="222"/>
      <c r="M469" s="222"/>
      <c r="N469" s="222"/>
      <c r="O469" s="222"/>
      <c r="P469" s="222"/>
      <c r="Q469" s="222"/>
      <c r="R469" s="222"/>
      <c r="S469" s="222"/>
      <c r="T469" s="146"/>
      <c r="U469" s="146"/>
      <c r="V469" s="146"/>
      <c r="W469" s="146"/>
      <c r="X469" s="146"/>
      <c r="Y469" s="146"/>
      <c r="Z469" s="146"/>
      <c r="AA469" s="236"/>
      <c r="AB469" s="236"/>
      <c r="AC469" s="236"/>
      <c r="AD469" s="225" t="n">
        <f aca="false">+AA469*T469</f>
        <v>0</v>
      </c>
      <c r="AE469" s="225"/>
      <c r="AF469" s="225"/>
      <c r="AG469" s="225"/>
      <c r="AH469" s="225"/>
      <c r="AI469" s="225"/>
      <c r="AJ469" s="225"/>
      <c r="AK469" s="225"/>
      <c r="AL469" s="225"/>
      <c r="AM469" s="250"/>
      <c r="AN469" s="250"/>
      <c r="AO469" s="250"/>
      <c r="AP469" s="250"/>
      <c r="AQ469" s="250"/>
      <c r="AR469" s="250"/>
    </row>
    <row r="470" customFormat="false" ht="90.6" hidden="false" customHeight="true" outlineLevel="0" collapsed="false">
      <c r="A470" s="221"/>
      <c r="B470" s="221"/>
      <c r="C470" s="221"/>
      <c r="D470" s="221"/>
      <c r="E470" s="221"/>
      <c r="F470" s="221"/>
      <c r="G470" s="221"/>
      <c r="H470" s="221"/>
      <c r="I470" s="221"/>
      <c r="J470" s="222"/>
      <c r="K470" s="222"/>
      <c r="L470" s="222"/>
      <c r="M470" s="222"/>
      <c r="N470" s="222"/>
      <c r="O470" s="222"/>
      <c r="P470" s="222"/>
      <c r="Q470" s="222"/>
      <c r="R470" s="222"/>
      <c r="S470" s="222"/>
      <c r="T470" s="146"/>
      <c r="U470" s="146"/>
      <c r="V470" s="146"/>
      <c r="W470" s="146"/>
      <c r="X470" s="146"/>
      <c r="Y470" s="146"/>
      <c r="Z470" s="146"/>
      <c r="AA470" s="236"/>
      <c r="AB470" s="236"/>
      <c r="AC470" s="236"/>
      <c r="AD470" s="225" t="n">
        <f aca="false">+AA470*T470</f>
        <v>0</v>
      </c>
      <c r="AE470" s="225"/>
      <c r="AF470" s="225"/>
      <c r="AG470" s="225"/>
      <c r="AH470" s="225"/>
      <c r="AI470" s="225"/>
      <c r="AJ470" s="225"/>
      <c r="AK470" s="225"/>
      <c r="AL470" s="225"/>
      <c r="AM470" s="250"/>
      <c r="AN470" s="250"/>
      <c r="AO470" s="250"/>
      <c r="AP470" s="250"/>
      <c r="AQ470" s="250"/>
      <c r="AR470" s="250"/>
    </row>
    <row r="471" customFormat="false" ht="90.6" hidden="false" customHeight="true" outlineLevel="0" collapsed="false">
      <c r="A471" s="221"/>
      <c r="B471" s="221"/>
      <c r="C471" s="221"/>
      <c r="D471" s="221"/>
      <c r="E471" s="221"/>
      <c r="F471" s="221"/>
      <c r="G471" s="221"/>
      <c r="H471" s="221"/>
      <c r="I471" s="221"/>
      <c r="J471" s="222"/>
      <c r="K471" s="222"/>
      <c r="L471" s="222"/>
      <c r="M471" s="222"/>
      <c r="N471" s="222"/>
      <c r="O471" s="222"/>
      <c r="P471" s="222"/>
      <c r="Q471" s="222"/>
      <c r="R471" s="222"/>
      <c r="S471" s="222"/>
      <c r="T471" s="146"/>
      <c r="U471" s="146"/>
      <c r="V471" s="146"/>
      <c r="W471" s="146"/>
      <c r="X471" s="146"/>
      <c r="Y471" s="146"/>
      <c r="Z471" s="146"/>
      <c r="AA471" s="236"/>
      <c r="AB471" s="236"/>
      <c r="AC471" s="236"/>
      <c r="AD471" s="225" t="n">
        <f aca="false">+AA471*T471</f>
        <v>0</v>
      </c>
      <c r="AE471" s="225"/>
      <c r="AF471" s="225"/>
      <c r="AG471" s="225"/>
      <c r="AH471" s="225"/>
      <c r="AI471" s="225"/>
      <c r="AJ471" s="225"/>
      <c r="AK471" s="225"/>
      <c r="AL471" s="225"/>
      <c r="AM471" s="250"/>
      <c r="AN471" s="250"/>
      <c r="AO471" s="250"/>
      <c r="AP471" s="250"/>
      <c r="AQ471" s="250"/>
      <c r="AR471" s="250"/>
    </row>
    <row r="472" customFormat="false" ht="90.6" hidden="false" customHeight="true" outlineLevel="0" collapsed="false">
      <c r="A472" s="221"/>
      <c r="B472" s="221"/>
      <c r="C472" s="221"/>
      <c r="D472" s="221"/>
      <c r="E472" s="221"/>
      <c r="F472" s="221"/>
      <c r="G472" s="221"/>
      <c r="H472" s="221"/>
      <c r="I472" s="221"/>
      <c r="J472" s="222"/>
      <c r="K472" s="222"/>
      <c r="L472" s="222"/>
      <c r="M472" s="222"/>
      <c r="N472" s="222"/>
      <c r="O472" s="222"/>
      <c r="P472" s="222"/>
      <c r="Q472" s="222"/>
      <c r="R472" s="222"/>
      <c r="S472" s="222"/>
      <c r="T472" s="146"/>
      <c r="U472" s="146"/>
      <c r="V472" s="146"/>
      <c r="W472" s="146"/>
      <c r="X472" s="146"/>
      <c r="Y472" s="146"/>
      <c r="Z472" s="146"/>
      <c r="AA472" s="236"/>
      <c r="AB472" s="236"/>
      <c r="AC472" s="236"/>
      <c r="AD472" s="225" t="n">
        <f aca="false">+AA472*T472</f>
        <v>0</v>
      </c>
      <c r="AE472" s="225"/>
      <c r="AF472" s="225"/>
      <c r="AG472" s="225"/>
      <c r="AH472" s="225"/>
      <c r="AI472" s="225"/>
      <c r="AJ472" s="225"/>
      <c r="AK472" s="225"/>
      <c r="AL472" s="225"/>
      <c r="AM472" s="250"/>
      <c r="AN472" s="250"/>
      <c r="AO472" s="250"/>
      <c r="AP472" s="250"/>
      <c r="AQ472" s="250"/>
      <c r="AR472" s="250"/>
    </row>
    <row r="473" customFormat="false" ht="90.6" hidden="false" customHeight="true" outlineLevel="0" collapsed="false">
      <c r="A473" s="221"/>
      <c r="B473" s="221"/>
      <c r="C473" s="221"/>
      <c r="D473" s="221"/>
      <c r="E473" s="221"/>
      <c r="F473" s="221"/>
      <c r="G473" s="221"/>
      <c r="H473" s="221"/>
      <c r="I473" s="221"/>
      <c r="J473" s="222"/>
      <c r="K473" s="222"/>
      <c r="L473" s="222"/>
      <c r="M473" s="222"/>
      <c r="N473" s="222"/>
      <c r="O473" s="222"/>
      <c r="P473" s="222"/>
      <c r="Q473" s="222"/>
      <c r="R473" s="222"/>
      <c r="S473" s="222"/>
      <c r="T473" s="146"/>
      <c r="U473" s="146"/>
      <c r="V473" s="146"/>
      <c r="W473" s="146"/>
      <c r="X473" s="146"/>
      <c r="Y473" s="146"/>
      <c r="Z473" s="146"/>
      <c r="AA473" s="236"/>
      <c r="AB473" s="236"/>
      <c r="AC473" s="236"/>
      <c r="AD473" s="225" t="n">
        <f aca="false">+AA473*T473</f>
        <v>0</v>
      </c>
      <c r="AE473" s="225"/>
      <c r="AF473" s="225"/>
      <c r="AG473" s="225"/>
      <c r="AH473" s="225"/>
      <c r="AI473" s="225"/>
      <c r="AJ473" s="225"/>
      <c r="AK473" s="225"/>
      <c r="AL473" s="225"/>
      <c r="AM473" s="250"/>
      <c r="AN473" s="250"/>
      <c r="AO473" s="250"/>
      <c r="AP473" s="250"/>
      <c r="AQ473" s="250"/>
      <c r="AR473" s="250"/>
    </row>
    <row r="474" customFormat="false" ht="90.6" hidden="false" customHeight="true" outlineLevel="0" collapsed="false">
      <c r="A474" s="221"/>
      <c r="B474" s="221"/>
      <c r="C474" s="221"/>
      <c r="D474" s="221"/>
      <c r="E474" s="221"/>
      <c r="F474" s="221"/>
      <c r="G474" s="221"/>
      <c r="H474" s="221"/>
      <c r="I474" s="221"/>
      <c r="J474" s="222"/>
      <c r="K474" s="222"/>
      <c r="L474" s="222"/>
      <c r="M474" s="222"/>
      <c r="N474" s="222"/>
      <c r="O474" s="222"/>
      <c r="P474" s="222"/>
      <c r="Q474" s="222"/>
      <c r="R474" s="222"/>
      <c r="S474" s="222"/>
      <c r="T474" s="146"/>
      <c r="U474" s="146"/>
      <c r="V474" s="146"/>
      <c r="W474" s="146"/>
      <c r="X474" s="146"/>
      <c r="Y474" s="146"/>
      <c r="Z474" s="146"/>
      <c r="AA474" s="236"/>
      <c r="AB474" s="236"/>
      <c r="AC474" s="236"/>
      <c r="AD474" s="225" t="n">
        <f aca="false">+AA474*T474</f>
        <v>0</v>
      </c>
      <c r="AE474" s="225"/>
      <c r="AF474" s="225"/>
      <c r="AG474" s="225"/>
      <c r="AH474" s="225"/>
      <c r="AI474" s="225"/>
      <c r="AJ474" s="225"/>
      <c r="AK474" s="225"/>
      <c r="AL474" s="225"/>
      <c r="AM474" s="250"/>
      <c r="AN474" s="250"/>
      <c r="AO474" s="250"/>
      <c r="AP474" s="250"/>
      <c r="AQ474" s="250"/>
      <c r="AR474" s="250"/>
    </row>
    <row r="475" customFormat="false" ht="39.95" hidden="false" customHeight="true" outlineLevel="0" collapsed="false">
      <c r="A475" s="147" t="s">
        <v>1946</v>
      </c>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c r="AA475" s="147"/>
      <c r="AB475" s="147"/>
      <c r="AC475" s="147"/>
      <c r="AD475" s="174" t="n">
        <f aca="false">SUM(AD460:AL474)</f>
        <v>72115200</v>
      </c>
      <c r="AE475" s="174"/>
      <c r="AF475" s="174"/>
      <c r="AG475" s="174"/>
      <c r="AH475" s="174"/>
      <c r="AI475" s="174"/>
      <c r="AJ475" s="174"/>
      <c r="AK475" s="174"/>
      <c r="AL475" s="174"/>
      <c r="AM475" s="250"/>
      <c r="AN475" s="250"/>
      <c r="AO475" s="250"/>
      <c r="AP475" s="250"/>
      <c r="AQ475" s="250"/>
      <c r="AR475" s="250"/>
    </row>
    <row r="476" customFormat="false" ht="25.5" hidden="false" customHeight="true" outlineLevel="0" collapsed="false">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240"/>
      <c r="AF476" s="240"/>
      <c r="AG476" s="240"/>
      <c r="AH476" s="240"/>
      <c r="AI476" s="240"/>
      <c r="AJ476" s="240"/>
      <c r="AK476" s="240"/>
      <c r="AL476" s="240"/>
      <c r="AM476" s="240"/>
      <c r="AN476" s="240"/>
    </row>
    <row r="477" customFormat="false" ht="60.6" hidden="false" customHeight="true" outlineLevel="0" collapsed="false">
      <c r="A477" s="258" t="s">
        <v>1616</v>
      </c>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c r="AA477" s="258"/>
      <c r="AB477" s="258"/>
      <c r="AC477" s="258"/>
      <c r="AD477" s="258"/>
      <c r="AE477" s="258"/>
      <c r="AF477" s="258"/>
      <c r="AG477" s="258"/>
      <c r="AH477" s="258"/>
      <c r="AI477" s="258"/>
      <c r="AJ477" s="258"/>
      <c r="AK477" s="258"/>
      <c r="AL477" s="258"/>
      <c r="AM477" s="258"/>
      <c r="AN477" s="258"/>
      <c r="AU477" s="73"/>
    </row>
    <row r="479" customFormat="false" ht="54" hidden="false" customHeight="true" outlineLevel="0" collapsed="false">
      <c r="A479" s="259" t="s">
        <v>1947</v>
      </c>
      <c r="B479" s="259"/>
      <c r="C479" s="259"/>
      <c r="D479" s="259"/>
      <c r="E479" s="259"/>
      <c r="F479" s="259"/>
      <c r="G479" s="259"/>
      <c r="H479" s="259"/>
      <c r="I479" s="259"/>
      <c r="J479" s="259"/>
      <c r="K479" s="259"/>
      <c r="L479" s="259"/>
      <c r="M479" s="259"/>
      <c r="N479" s="259"/>
      <c r="O479" s="259"/>
      <c r="P479" s="259"/>
      <c r="Q479" s="259"/>
      <c r="R479" s="259"/>
      <c r="S479" s="259"/>
      <c r="T479" s="259"/>
      <c r="U479" s="259"/>
      <c r="V479" s="259"/>
      <c r="W479" s="259"/>
      <c r="X479" s="259"/>
      <c r="Y479" s="259"/>
      <c r="Z479" s="259"/>
      <c r="AA479" s="259"/>
      <c r="AB479" s="259"/>
      <c r="AC479" s="259"/>
      <c r="AD479" s="259"/>
      <c r="AE479" s="260" t="n">
        <f aca="false">+'Integrantes Iniciativa'!F14</f>
        <v>1</v>
      </c>
      <c r="AF479" s="260"/>
      <c r="AG479" s="260"/>
      <c r="AH479" s="260"/>
      <c r="AI479" s="260"/>
      <c r="AJ479" s="260"/>
      <c r="AK479" s="260"/>
      <c r="AL479" s="260"/>
      <c r="AM479" s="260"/>
      <c r="AN479" s="260"/>
      <c r="AO479" s="261" t="str">
        <f aca="false">+'Topes Montos'!B21</f>
        <v>Cumple integrantes permitidos</v>
      </c>
      <c r="AP479" s="261"/>
      <c r="AQ479" s="261"/>
      <c r="AR479" s="261"/>
      <c r="AS479" s="261"/>
      <c r="AT479" s="261"/>
      <c r="AU479" s="261"/>
      <c r="AV479" s="261"/>
      <c r="AW479" s="261"/>
    </row>
    <row r="480" customFormat="false" ht="54" hidden="false" customHeight="true" outlineLevel="0" collapsed="false">
      <c r="A480" s="259" t="s">
        <v>1948</v>
      </c>
      <c r="B480" s="259"/>
      <c r="C480" s="259"/>
      <c r="D480" s="259"/>
      <c r="E480" s="259"/>
      <c r="F480" s="259"/>
      <c r="G480" s="259"/>
      <c r="H480" s="259"/>
      <c r="I480" s="259"/>
      <c r="J480" s="259"/>
      <c r="K480" s="259"/>
      <c r="L480" s="259"/>
      <c r="M480" s="259"/>
      <c r="N480" s="259"/>
      <c r="O480" s="259"/>
      <c r="P480" s="259"/>
      <c r="Q480" s="259"/>
      <c r="R480" s="259"/>
      <c r="S480" s="259"/>
      <c r="T480" s="259"/>
      <c r="U480" s="259"/>
      <c r="V480" s="259"/>
      <c r="W480" s="259"/>
      <c r="X480" s="259"/>
      <c r="Y480" s="259"/>
      <c r="Z480" s="259"/>
      <c r="AA480" s="259"/>
      <c r="AB480" s="259"/>
      <c r="AC480" s="259"/>
      <c r="AD480" s="259"/>
      <c r="AE480" s="262" t="n">
        <f aca="false">+AD454+AD475</f>
        <v>75115200</v>
      </c>
      <c r="AF480" s="262"/>
      <c r="AG480" s="262"/>
      <c r="AH480" s="262"/>
      <c r="AI480" s="262"/>
      <c r="AJ480" s="262"/>
      <c r="AK480" s="262"/>
      <c r="AL480" s="262"/>
      <c r="AM480" s="262"/>
      <c r="AN480" s="262"/>
      <c r="AO480" s="261" t="str">
        <f aca="false">+'Topes Montos'!D21</f>
        <v>No cumple rango de recursos para el número de integrantes registrados</v>
      </c>
      <c r="AP480" s="261"/>
      <c r="AQ480" s="261"/>
      <c r="AR480" s="261"/>
      <c r="AS480" s="261"/>
      <c r="AT480" s="261"/>
      <c r="AU480" s="261"/>
      <c r="AV480" s="261"/>
      <c r="AW480" s="261"/>
      <c r="AX480" s="263"/>
      <c r="AY480" s="263"/>
      <c r="AZ480" s="263"/>
    </row>
    <row r="481" customFormat="false" ht="54" hidden="false" customHeight="true" outlineLevel="0" collapsed="false">
      <c r="A481" s="259" t="s">
        <v>1949</v>
      </c>
      <c r="B481" s="259"/>
      <c r="C481" s="259"/>
      <c r="D481" s="259"/>
      <c r="E481" s="259"/>
      <c r="F481" s="259"/>
      <c r="G481" s="259"/>
      <c r="H481" s="259"/>
      <c r="I481" s="259"/>
      <c r="J481" s="259"/>
      <c r="K481" s="259"/>
      <c r="L481" s="259"/>
      <c r="M481" s="259"/>
      <c r="N481" s="259"/>
      <c r="O481" s="259"/>
      <c r="P481" s="259"/>
      <c r="Q481" s="259"/>
      <c r="R481" s="259"/>
      <c r="S481" s="259"/>
      <c r="T481" s="259"/>
      <c r="U481" s="259"/>
      <c r="V481" s="259"/>
      <c r="W481" s="259"/>
      <c r="X481" s="259"/>
      <c r="Y481" s="259"/>
      <c r="Z481" s="259"/>
      <c r="AA481" s="259"/>
      <c r="AB481" s="259"/>
      <c r="AC481" s="259"/>
      <c r="AD481" s="259"/>
      <c r="AE481" s="260" t="n">
        <f aca="false">+K538</f>
        <v>3</v>
      </c>
      <c r="AF481" s="260"/>
      <c r="AG481" s="260"/>
      <c r="AH481" s="260"/>
      <c r="AI481" s="260"/>
      <c r="AJ481" s="260"/>
      <c r="AK481" s="260"/>
      <c r="AL481" s="260"/>
      <c r="AM481" s="260"/>
      <c r="AN481" s="260"/>
      <c r="AO481" s="261" t="str">
        <f aca="false">+'Topes Montos'!F21</f>
        <v>Cumple empleos a generar</v>
      </c>
      <c r="AP481" s="261"/>
      <c r="AQ481" s="261"/>
      <c r="AR481" s="261"/>
      <c r="AS481" s="261"/>
      <c r="AT481" s="261"/>
      <c r="AU481" s="261"/>
      <c r="AV481" s="261"/>
      <c r="AW481" s="261"/>
    </row>
    <row r="482" customFormat="false" ht="47.25" hidden="false" customHeight="true" outlineLevel="0" collapsed="false">
      <c r="A482" s="147" t="s">
        <v>1950</v>
      </c>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c r="AA482" s="147"/>
      <c r="AB482" s="147"/>
      <c r="AC482" s="147"/>
      <c r="AD482" s="147"/>
      <c r="AE482" s="264" t="str">
        <f aca="false">+'Topes Montos'!B23</f>
        <v>No cumple condiciones para la postulación</v>
      </c>
      <c r="AF482" s="264"/>
      <c r="AG482" s="264"/>
      <c r="AH482" s="264"/>
      <c r="AI482" s="264"/>
      <c r="AJ482" s="264"/>
      <c r="AK482" s="264"/>
      <c r="AL482" s="264"/>
      <c r="AM482" s="264"/>
      <c r="AN482" s="264"/>
      <c r="AO482" s="264"/>
      <c r="AP482" s="264"/>
      <c r="AQ482" s="264"/>
      <c r="AR482" s="264"/>
      <c r="AS482" s="264"/>
      <c r="AT482" s="264"/>
    </row>
    <row r="483" customFormat="false" ht="21.75" hidden="false" customHeight="true" outlineLevel="0" collapsed="false">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265"/>
      <c r="AF483" s="265"/>
      <c r="AG483" s="265"/>
      <c r="AH483" s="265"/>
      <c r="AI483" s="265"/>
      <c r="AJ483" s="265"/>
      <c r="AK483" s="265"/>
      <c r="AL483" s="265"/>
      <c r="AM483" s="265"/>
      <c r="AN483" s="265"/>
      <c r="AO483" s="265"/>
      <c r="AP483" s="265"/>
      <c r="AQ483" s="265"/>
      <c r="AR483" s="265"/>
    </row>
    <row r="484" customFormat="false" ht="65.25" hidden="false" customHeight="true" outlineLevel="0" collapsed="false">
      <c r="A484" s="266" t="s">
        <v>1951</v>
      </c>
      <c r="B484" s="266"/>
      <c r="C484" s="266"/>
      <c r="D484" s="266"/>
      <c r="E484" s="266"/>
      <c r="F484" s="266"/>
      <c r="G484" s="266"/>
      <c r="H484" s="266"/>
      <c r="I484" s="266"/>
      <c r="J484" s="266"/>
      <c r="K484" s="266"/>
      <c r="L484" s="266"/>
      <c r="M484" s="266"/>
      <c r="N484" s="266"/>
      <c r="O484" s="266"/>
      <c r="P484" s="266"/>
      <c r="Q484" s="266"/>
      <c r="R484" s="266"/>
      <c r="S484" s="266"/>
      <c r="T484" s="266"/>
      <c r="U484" s="266"/>
      <c r="V484" s="266"/>
      <c r="W484" s="266"/>
      <c r="X484" s="266"/>
      <c r="Y484" s="266"/>
      <c r="Z484" s="266"/>
      <c r="AA484" s="266"/>
      <c r="AB484" s="266"/>
      <c r="AC484" s="266"/>
      <c r="AD484" s="266"/>
      <c r="AE484" s="266"/>
      <c r="AF484" s="266"/>
      <c r="AG484" s="266"/>
      <c r="AH484" s="266"/>
      <c r="AI484" s="266"/>
      <c r="AJ484" s="266"/>
      <c r="AK484" s="266"/>
      <c r="AL484" s="266"/>
      <c r="AM484" s="266"/>
      <c r="AN484" s="266"/>
      <c r="AO484" s="265"/>
      <c r="AP484" s="265"/>
      <c r="AQ484" s="265"/>
      <c r="AR484" s="265"/>
    </row>
    <row r="485" customFormat="false" ht="71.25" hidden="false" customHeight="true" outlineLevel="0" collapsed="false">
      <c r="A485" s="267" t="s">
        <v>1672</v>
      </c>
      <c r="B485" s="267"/>
      <c r="C485" s="267"/>
      <c r="D485" s="267"/>
      <c r="E485" s="267"/>
      <c r="F485" s="267"/>
      <c r="G485" s="267"/>
      <c r="H485" s="267"/>
      <c r="I485" s="267"/>
      <c r="J485" s="267"/>
      <c r="K485" s="267"/>
      <c r="L485" s="268"/>
      <c r="M485" s="269" t="s">
        <v>1952</v>
      </c>
      <c r="N485" s="269"/>
      <c r="O485" s="269"/>
      <c r="P485" s="269"/>
      <c r="Q485" s="269"/>
      <c r="R485" s="269"/>
      <c r="S485" s="269"/>
      <c r="T485" s="269"/>
      <c r="U485" s="269"/>
      <c r="V485" s="269"/>
      <c r="W485" s="269"/>
      <c r="X485" s="269"/>
      <c r="Y485" s="269"/>
      <c r="Z485" s="270"/>
      <c r="AA485" s="270"/>
      <c r="AB485" s="269" t="s">
        <v>1953</v>
      </c>
      <c r="AC485" s="269"/>
      <c r="AD485" s="269"/>
      <c r="AE485" s="269"/>
      <c r="AF485" s="269"/>
      <c r="AG485" s="269"/>
      <c r="AH485" s="269"/>
      <c r="AI485" s="269"/>
      <c r="AJ485" s="269"/>
      <c r="AK485" s="269"/>
      <c r="AL485" s="269"/>
      <c r="AM485" s="269"/>
      <c r="AN485" s="269"/>
      <c r="AO485" s="268"/>
      <c r="AP485" s="268"/>
      <c r="AQ485" s="268"/>
      <c r="AR485" s="268"/>
      <c r="AS485" s="268"/>
      <c r="AT485" s="268"/>
      <c r="AU485" s="268"/>
    </row>
    <row r="486" customFormat="false" ht="48" hidden="false" customHeight="true" outlineLevel="0" collapsed="false">
      <c r="A486" s="271" t="s">
        <v>1954</v>
      </c>
      <c r="B486" s="271"/>
      <c r="C486" s="271"/>
      <c r="D486" s="271"/>
      <c r="E486" s="271"/>
      <c r="F486" s="272" t="s">
        <v>1955</v>
      </c>
      <c r="G486" s="272"/>
      <c r="H486" s="272"/>
      <c r="I486" s="272"/>
      <c r="J486" s="272"/>
      <c r="K486" s="272"/>
      <c r="L486" s="273"/>
      <c r="M486" s="272" t="s">
        <v>1956</v>
      </c>
      <c r="N486" s="272"/>
      <c r="O486" s="272"/>
      <c r="P486" s="272" t="s">
        <v>1954</v>
      </c>
      <c r="Q486" s="272"/>
      <c r="R486" s="272"/>
      <c r="S486" s="272" t="s">
        <v>1957</v>
      </c>
      <c r="T486" s="272"/>
      <c r="U486" s="272"/>
      <c r="V486" s="274" t="s">
        <v>1955</v>
      </c>
      <c r="W486" s="274"/>
      <c r="X486" s="274"/>
      <c r="Y486" s="274"/>
      <c r="Z486" s="275"/>
      <c r="AA486" s="275"/>
      <c r="AB486" s="272" t="s">
        <v>1956</v>
      </c>
      <c r="AC486" s="272"/>
      <c r="AD486" s="272"/>
      <c r="AE486" s="272" t="s">
        <v>1954</v>
      </c>
      <c r="AF486" s="272"/>
      <c r="AG486" s="272"/>
      <c r="AH486" s="272" t="s">
        <v>1957</v>
      </c>
      <c r="AI486" s="272"/>
      <c r="AJ486" s="272"/>
      <c r="AK486" s="274" t="s">
        <v>1955</v>
      </c>
      <c r="AL486" s="274"/>
      <c r="AM486" s="274"/>
      <c r="AN486" s="274"/>
      <c r="AO486" s="273"/>
      <c r="AP486" s="273"/>
      <c r="AQ486" s="273"/>
      <c r="AR486" s="273"/>
      <c r="AS486" s="273"/>
      <c r="AT486" s="273"/>
      <c r="AU486" s="273"/>
      <c r="AV486" s="276"/>
      <c r="AW486" s="277"/>
      <c r="AX486" s="276"/>
      <c r="AY486" s="276"/>
      <c r="AZ486" s="276"/>
      <c r="BA486" s="276"/>
    </row>
    <row r="487" customFormat="false" ht="21.75" hidden="false" customHeight="true" outlineLevel="0" collapsed="false">
      <c r="A487" s="271" t="n">
        <v>42</v>
      </c>
      <c r="B487" s="271"/>
      <c r="C487" s="271"/>
      <c r="D487" s="271"/>
      <c r="E487" s="271"/>
      <c r="F487" s="278" t="n">
        <v>1</v>
      </c>
      <c r="G487" s="278"/>
      <c r="H487" s="278"/>
      <c r="I487" s="278"/>
      <c r="J487" s="278"/>
      <c r="K487" s="278"/>
      <c r="L487" s="268"/>
      <c r="M487" s="153" t="n">
        <v>200</v>
      </c>
      <c r="N487" s="153"/>
      <c r="O487" s="153"/>
      <c r="P487" s="153" t="n">
        <v>299</v>
      </c>
      <c r="Q487" s="153"/>
      <c r="R487" s="153"/>
      <c r="S487" s="271" t="s">
        <v>1958</v>
      </c>
      <c r="T487" s="271"/>
      <c r="U487" s="271"/>
      <c r="V487" s="271" t="n">
        <v>7</v>
      </c>
      <c r="W487" s="271"/>
      <c r="X487" s="271"/>
      <c r="Y487" s="271"/>
      <c r="Z487" s="279"/>
      <c r="AA487" s="268"/>
      <c r="AB487" s="153" t="n">
        <v>400</v>
      </c>
      <c r="AC487" s="153"/>
      <c r="AD487" s="153"/>
      <c r="AE487" s="153" t="n">
        <v>600</v>
      </c>
      <c r="AF487" s="153"/>
      <c r="AG487" s="153"/>
      <c r="AH487" s="271" t="n">
        <v>20</v>
      </c>
      <c r="AI487" s="271"/>
      <c r="AJ487" s="271" t="n">
        <v>20</v>
      </c>
      <c r="AK487" s="271" t="n">
        <v>7</v>
      </c>
      <c r="AL487" s="271"/>
      <c r="AM487" s="271"/>
      <c r="AN487" s="271"/>
      <c r="AO487" s="268"/>
      <c r="AP487" s="268"/>
      <c r="AQ487" s="268"/>
      <c r="AR487" s="268"/>
      <c r="AS487" s="268"/>
      <c r="AT487" s="268"/>
      <c r="AU487" s="268"/>
      <c r="AV487" s="280"/>
      <c r="AW487" s="281"/>
      <c r="AX487" s="280"/>
      <c r="AY487" s="280"/>
      <c r="AZ487" s="280"/>
      <c r="BA487" s="280"/>
    </row>
    <row r="488" customFormat="false" ht="21.75" hidden="false" customHeight="true" outlineLevel="0" collapsed="false">
      <c r="A488" s="271" t="n">
        <v>56</v>
      </c>
      <c r="B488" s="271"/>
      <c r="C488" s="271"/>
      <c r="D488" s="271"/>
      <c r="E488" s="271"/>
      <c r="F488" s="278" t="n">
        <v>3</v>
      </c>
      <c r="G488" s="278"/>
      <c r="H488" s="278"/>
      <c r="I488" s="278"/>
      <c r="J488" s="278"/>
      <c r="K488" s="278"/>
      <c r="L488" s="268"/>
      <c r="M488" s="153" t="n">
        <v>300</v>
      </c>
      <c r="N488" s="153"/>
      <c r="O488" s="153"/>
      <c r="P488" s="153" t="n">
        <v>399</v>
      </c>
      <c r="Q488" s="153"/>
      <c r="R488" s="153"/>
      <c r="S488" s="271" t="s">
        <v>1959</v>
      </c>
      <c r="T488" s="271"/>
      <c r="U488" s="271"/>
      <c r="V488" s="271" t="n">
        <v>8</v>
      </c>
      <c r="W488" s="271"/>
      <c r="X488" s="271"/>
      <c r="Y488" s="271"/>
      <c r="Z488" s="279"/>
      <c r="AA488" s="268"/>
      <c r="AB488" s="153" t="n">
        <v>600</v>
      </c>
      <c r="AC488" s="153"/>
      <c r="AD488" s="153"/>
      <c r="AE488" s="153" t="n">
        <v>900</v>
      </c>
      <c r="AF488" s="153"/>
      <c r="AG488" s="153"/>
      <c r="AH488" s="271" t="s">
        <v>1960</v>
      </c>
      <c r="AI488" s="271"/>
      <c r="AJ488" s="271" t="s">
        <v>1960</v>
      </c>
      <c r="AK488" s="271" t="n">
        <v>8</v>
      </c>
      <c r="AL488" s="271"/>
      <c r="AM488" s="271"/>
      <c r="AN488" s="271"/>
      <c r="AO488" s="268"/>
      <c r="AP488" s="268"/>
      <c r="AQ488" s="268"/>
      <c r="AR488" s="268"/>
      <c r="AS488" s="268"/>
      <c r="AT488" s="268"/>
      <c r="AU488" s="268"/>
      <c r="AV488" s="280"/>
      <c r="AW488" s="281"/>
      <c r="AX488" s="280"/>
      <c r="AY488" s="280"/>
      <c r="AZ488" s="280"/>
      <c r="BA488" s="280"/>
    </row>
    <row r="489" customFormat="false" ht="33.95" hidden="false" customHeight="true" outlineLevel="0" collapsed="false">
      <c r="A489" s="271" t="n">
        <v>70</v>
      </c>
      <c r="B489" s="271"/>
      <c r="C489" s="271"/>
      <c r="D489" s="271"/>
      <c r="E489" s="271"/>
      <c r="F489" s="278" t="n">
        <v>5</v>
      </c>
      <c r="G489" s="278"/>
      <c r="H489" s="278"/>
      <c r="I489" s="278"/>
      <c r="J489" s="278"/>
      <c r="K489" s="278"/>
      <c r="L489" s="268"/>
      <c r="M489" s="153" t="n">
        <v>400</v>
      </c>
      <c r="N489" s="153"/>
      <c r="O489" s="153"/>
      <c r="P489" s="153" t="n">
        <v>500</v>
      </c>
      <c r="Q489" s="153"/>
      <c r="R489" s="153"/>
      <c r="S489" s="282" t="s">
        <v>1961</v>
      </c>
      <c r="T489" s="282"/>
      <c r="U489" s="282"/>
      <c r="V489" s="271" t="n">
        <v>10</v>
      </c>
      <c r="W489" s="271"/>
      <c r="X489" s="271"/>
      <c r="Y489" s="271"/>
      <c r="Z489" s="279"/>
      <c r="AA489" s="268"/>
      <c r="AB489" s="153" t="n">
        <v>900</v>
      </c>
      <c r="AC489" s="153"/>
      <c r="AD489" s="153"/>
      <c r="AE489" s="153" t="n">
        <v>1100</v>
      </c>
      <c r="AF489" s="153"/>
      <c r="AG489" s="153"/>
      <c r="AH489" s="282" t="s">
        <v>1962</v>
      </c>
      <c r="AI489" s="282"/>
      <c r="AJ489" s="282" t="s">
        <v>1962</v>
      </c>
      <c r="AK489" s="271" t="n">
        <v>10</v>
      </c>
      <c r="AL489" s="271"/>
      <c r="AM489" s="271"/>
      <c r="AN489" s="271"/>
      <c r="AO489" s="268"/>
      <c r="AP489" s="268"/>
      <c r="AQ489" s="268"/>
      <c r="AR489" s="268"/>
      <c r="AS489" s="268"/>
      <c r="AT489" s="268"/>
      <c r="AU489" s="268"/>
      <c r="AV489" s="280"/>
      <c r="AW489" s="281"/>
      <c r="AX489" s="280"/>
      <c r="AY489" s="280"/>
      <c r="AZ489" s="280"/>
      <c r="BA489" s="280"/>
    </row>
    <row r="490" customFormat="false" ht="21.75" hidden="false" customHeight="true" outlineLevel="0" collapsed="false">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c r="AD490" s="82"/>
      <c r="AE490" s="265"/>
      <c r="AF490" s="265"/>
      <c r="AG490" s="265"/>
      <c r="AH490" s="265"/>
      <c r="AI490" s="265"/>
      <c r="AJ490" s="265"/>
      <c r="AK490" s="265"/>
      <c r="AL490" s="265"/>
      <c r="AM490" s="265"/>
      <c r="AN490" s="265"/>
      <c r="AO490" s="265"/>
      <c r="AP490" s="265"/>
      <c r="AQ490" s="265"/>
      <c r="AR490" s="265"/>
    </row>
    <row r="491" customFormat="false" ht="21.75" hidden="false" customHeight="true" outlineLevel="0" collapsed="false">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c r="AD491" s="82"/>
      <c r="AE491" s="265"/>
      <c r="AF491" s="265"/>
      <c r="AG491" s="265"/>
      <c r="AH491" s="265"/>
      <c r="AI491" s="265"/>
      <c r="AJ491" s="265"/>
      <c r="AK491" s="265"/>
      <c r="AL491" s="265"/>
      <c r="AM491" s="265"/>
      <c r="AN491" s="265"/>
      <c r="AO491" s="265"/>
      <c r="AP491" s="265"/>
      <c r="AQ491" s="265"/>
      <c r="AR491" s="265"/>
    </row>
    <row r="492" customFormat="false" ht="30" hidden="false" customHeight="true" outlineLevel="0" collapsed="false">
      <c r="A492" s="212" t="s">
        <v>1618</v>
      </c>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212"/>
      <c r="AK492" s="212"/>
      <c r="AL492" s="212"/>
      <c r="AM492" s="212"/>
      <c r="AN492" s="212"/>
      <c r="AS492" s="283"/>
      <c r="BE492" s="35" t="s">
        <v>1795</v>
      </c>
    </row>
    <row r="493" customFormat="false" ht="6.95" hidden="false" customHeight="true" outlineLevel="0" collapsed="false"/>
    <row r="494" customFormat="false" ht="24" hidden="false" customHeight="false" outlineLevel="0" collapsed="false">
      <c r="A494" s="68" t="s">
        <v>1963</v>
      </c>
    </row>
    <row r="496" customFormat="false" ht="160.5" hidden="false" customHeight="true" outlineLevel="0" collapsed="false">
      <c r="A496" s="117" t="s">
        <v>1964</v>
      </c>
      <c r="B496" s="117"/>
      <c r="C496" s="117"/>
      <c r="D496" s="117"/>
      <c r="E496" s="117"/>
      <c r="G496" s="284" t="s">
        <v>1965</v>
      </c>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row>
    <row r="497" customFormat="false" ht="160.5" hidden="false" customHeight="true" outlineLevel="0" collapsed="false">
      <c r="A497" s="117" t="s">
        <v>1966</v>
      </c>
      <c r="B497" s="117"/>
      <c r="C497" s="117"/>
      <c r="D497" s="117"/>
      <c r="E497" s="117"/>
      <c r="G497" s="284" t="s">
        <v>1967</v>
      </c>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row>
    <row r="498" customFormat="false" ht="160.5" hidden="false" customHeight="true" outlineLevel="0" collapsed="false">
      <c r="A498" s="117" t="s">
        <v>1968</v>
      </c>
      <c r="B498" s="117"/>
      <c r="C498" s="117"/>
      <c r="D498" s="117"/>
      <c r="E498" s="117"/>
      <c r="G498" s="284" t="s">
        <v>1967</v>
      </c>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row>
    <row r="499" customFormat="false" ht="160.5" hidden="false" customHeight="true" outlineLevel="0" collapsed="false">
      <c r="A499" s="117" t="s">
        <v>1969</v>
      </c>
      <c r="B499" s="117"/>
      <c r="C499" s="117"/>
      <c r="D499" s="117"/>
      <c r="E499" s="117"/>
      <c r="G499" s="284" t="s">
        <v>1970</v>
      </c>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row>
    <row r="500" customFormat="false" ht="160.5" hidden="false" customHeight="true" outlineLevel="0" collapsed="false">
      <c r="A500" s="117" t="s">
        <v>1878</v>
      </c>
      <c r="B500" s="117"/>
      <c r="C500" s="117"/>
      <c r="D500" s="117"/>
      <c r="E500" s="117"/>
      <c r="G500" s="284" t="s">
        <v>1971</v>
      </c>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row>
    <row r="501" customFormat="false" ht="24" hidden="false" customHeight="false" outlineLevel="0" collapsed="false">
      <c r="A501" s="68"/>
      <c r="B501" s="68"/>
      <c r="C501" s="68"/>
      <c r="D501" s="68"/>
      <c r="E501" s="68"/>
    </row>
    <row r="502" customFormat="false" ht="54" hidden="false" customHeight="true" outlineLevel="0" collapsed="false">
      <c r="A502" s="62" t="s">
        <v>1972</v>
      </c>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row>
    <row r="503" customFormat="false" ht="193.5" hidden="false" customHeight="true" outlineLevel="0" collapsed="false">
      <c r="A503" s="285" t="s">
        <v>1973</v>
      </c>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c r="Z503" s="285"/>
      <c r="AA503" s="285"/>
      <c r="AB503" s="285"/>
      <c r="AC503" s="285"/>
      <c r="AD503" s="285"/>
      <c r="AE503" s="285"/>
      <c r="AF503" s="285"/>
      <c r="AG503" s="285"/>
      <c r="AH503" s="285"/>
      <c r="AI503" s="285"/>
      <c r="AJ503" s="285"/>
      <c r="AK503" s="285"/>
      <c r="AL503" s="285"/>
      <c r="AM503" s="285"/>
      <c r="AN503" s="285"/>
    </row>
    <row r="504" customFormat="false" ht="24" hidden="false" customHeight="false" outlineLevel="0" collapsed="false">
      <c r="A504" s="68"/>
      <c r="B504" s="68"/>
      <c r="C504" s="68"/>
      <c r="D504" s="68"/>
      <c r="E504" s="68"/>
    </row>
    <row r="505" customFormat="false" ht="30" hidden="false" customHeight="true" outlineLevel="0" collapsed="false">
      <c r="A505" s="191" t="s">
        <v>1620</v>
      </c>
      <c r="B505" s="191"/>
      <c r="C505" s="191"/>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c r="AA505" s="191"/>
      <c r="AB505" s="191"/>
      <c r="AC505" s="191"/>
      <c r="AD505" s="191"/>
      <c r="AE505" s="191"/>
      <c r="AF505" s="191"/>
      <c r="AG505" s="191"/>
      <c r="AH505" s="191"/>
      <c r="AI505" s="191"/>
      <c r="AJ505" s="191"/>
      <c r="AK505" s="191"/>
      <c r="AL505" s="191"/>
      <c r="AM505" s="191"/>
      <c r="AN505" s="191"/>
    </row>
    <row r="506" customFormat="false" ht="105" hidden="false" customHeight="true" outlineLevel="0" collapsed="false">
      <c r="A506" s="192" t="s">
        <v>1974</v>
      </c>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c r="AM506" s="192"/>
      <c r="AN506" s="192"/>
    </row>
    <row r="507" customFormat="false" ht="16.5" hidden="false" customHeight="true" outlineLevel="0" collapsed="false">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row>
    <row r="508" customFormat="false" ht="43.5" hidden="false" customHeight="true" outlineLevel="0" collapsed="false">
      <c r="A508" s="286" t="s">
        <v>1975</v>
      </c>
      <c r="B508" s="286"/>
      <c r="C508" s="286"/>
      <c r="D508" s="286"/>
      <c r="E508" s="286"/>
      <c r="F508" s="286"/>
      <c r="G508" s="286"/>
      <c r="H508" s="286"/>
      <c r="I508" s="287" t="s">
        <v>1976</v>
      </c>
      <c r="J508" s="287"/>
      <c r="K508" s="287"/>
      <c r="L508" s="287"/>
      <c r="M508" s="287" t="s">
        <v>1977</v>
      </c>
      <c r="N508" s="287"/>
      <c r="O508" s="287"/>
      <c r="P508" s="287"/>
      <c r="Q508" s="287" t="s">
        <v>1978</v>
      </c>
      <c r="R508" s="287"/>
      <c r="S508" s="287"/>
      <c r="T508" s="287"/>
      <c r="U508" s="287" t="s">
        <v>1979</v>
      </c>
      <c r="V508" s="287"/>
      <c r="W508" s="287"/>
      <c r="X508" s="287"/>
      <c r="Y508" s="287" t="s">
        <v>1980</v>
      </c>
      <c r="Z508" s="287"/>
      <c r="AA508" s="287"/>
      <c r="AB508" s="287"/>
      <c r="AC508" s="287" t="s">
        <v>1981</v>
      </c>
      <c r="AD508" s="287"/>
      <c r="AE508" s="287"/>
      <c r="AF508" s="287"/>
      <c r="AG508" s="287" t="s">
        <v>1982</v>
      </c>
      <c r="AH508" s="287"/>
      <c r="AI508" s="287"/>
      <c r="AJ508" s="287"/>
      <c r="AK508" s="287" t="s">
        <v>1983</v>
      </c>
      <c r="AL508" s="287"/>
      <c r="AM508" s="287"/>
      <c r="AN508" s="287"/>
      <c r="AO508" s="287" t="s">
        <v>1984</v>
      </c>
      <c r="AP508" s="287"/>
      <c r="AQ508" s="287"/>
      <c r="AR508" s="287"/>
    </row>
    <row r="509" customFormat="false" ht="39.95" hidden="false" customHeight="true" outlineLevel="0" collapsed="false">
      <c r="A509" s="180" t="s">
        <v>1985</v>
      </c>
      <c r="B509" s="180"/>
      <c r="C509" s="180"/>
      <c r="D509" s="180"/>
      <c r="E509" s="180"/>
      <c r="F509" s="180"/>
      <c r="G509" s="180"/>
      <c r="H509" s="180"/>
      <c r="I509" s="288" t="n">
        <v>4612800</v>
      </c>
      <c r="J509" s="288"/>
      <c r="K509" s="288"/>
      <c r="L509" s="288"/>
      <c r="M509" s="289" t="n">
        <v>4612800</v>
      </c>
      <c r="N509" s="289"/>
      <c r="O509" s="289"/>
      <c r="P509" s="289"/>
      <c r="Q509" s="289" t="n">
        <v>4612800</v>
      </c>
      <c r="R509" s="289"/>
      <c r="S509" s="289"/>
      <c r="T509" s="289"/>
      <c r="U509" s="289" t="n">
        <v>4612800</v>
      </c>
      <c r="V509" s="289"/>
      <c r="W509" s="289"/>
      <c r="X509" s="289"/>
      <c r="Y509" s="289" t="n">
        <v>4612800</v>
      </c>
      <c r="Z509" s="289"/>
      <c r="AA509" s="289"/>
      <c r="AB509" s="289"/>
      <c r="AC509" s="289" t="n">
        <v>4612800</v>
      </c>
      <c r="AD509" s="289"/>
      <c r="AE509" s="289"/>
      <c r="AF509" s="289"/>
      <c r="AG509" s="289" t="n">
        <v>4612800</v>
      </c>
      <c r="AH509" s="289"/>
      <c r="AI509" s="289"/>
      <c r="AJ509" s="289"/>
      <c r="AK509" s="289" t="n">
        <v>4612800</v>
      </c>
      <c r="AL509" s="289"/>
      <c r="AM509" s="289"/>
      <c r="AN509" s="289"/>
      <c r="AO509" s="289" t="n">
        <v>4612800</v>
      </c>
      <c r="AP509" s="289"/>
      <c r="AQ509" s="289"/>
      <c r="AR509" s="289"/>
    </row>
    <row r="510" customFormat="false" ht="39.95" hidden="false" customHeight="true" outlineLevel="0" collapsed="false">
      <c r="A510" s="180" t="s">
        <v>1930</v>
      </c>
      <c r="B510" s="180"/>
      <c r="C510" s="180"/>
      <c r="D510" s="180"/>
      <c r="E510" s="180"/>
      <c r="F510" s="180"/>
      <c r="G510" s="180"/>
      <c r="H510" s="180"/>
      <c r="I510" s="288" t="n">
        <v>3000000</v>
      </c>
      <c r="J510" s="288"/>
      <c r="K510" s="288"/>
      <c r="L510" s="288"/>
      <c r="M510" s="288"/>
      <c r="N510" s="288"/>
      <c r="O510" s="288"/>
      <c r="P510" s="288"/>
      <c r="Q510" s="288"/>
      <c r="R510" s="288"/>
      <c r="S510" s="288"/>
      <c r="T510" s="288"/>
      <c r="U510" s="288"/>
      <c r="V510" s="288"/>
      <c r="W510" s="288"/>
      <c r="X510" s="288"/>
      <c r="Y510" s="288"/>
      <c r="Z510" s="288"/>
      <c r="AA510" s="288"/>
      <c r="AB510" s="288"/>
      <c r="AC510" s="288"/>
      <c r="AD510" s="288"/>
      <c r="AE510" s="288"/>
      <c r="AF510" s="288"/>
      <c r="AG510" s="288"/>
      <c r="AH510" s="288"/>
      <c r="AI510" s="288"/>
      <c r="AJ510" s="288"/>
      <c r="AK510" s="288"/>
      <c r="AL510" s="288"/>
      <c r="AM510" s="288"/>
      <c r="AN510" s="288"/>
      <c r="AO510" s="288"/>
      <c r="AP510" s="288"/>
      <c r="AQ510" s="288"/>
      <c r="AR510" s="288"/>
    </row>
    <row r="511" customFormat="false" ht="39.95" hidden="false" customHeight="true" outlineLevel="0" collapsed="false">
      <c r="A511" s="180" t="s">
        <v>1895</v>
      </c>
      <c r="B511" s="180"/>
      <c r="C511" s="180"/>
      <c r="D511" s="180"/>
      <c r="E511" s="180"/>
      <c r="F511" s="180"/>
      <c r="G511" s="180"/>
      <c r="H511" s="180"/>
      <c r="I511" s="289" t="n">
        <v>600000</v>
      </c>
      <c r="J511" s="289"/>
      <c r="K511" s="289"/>
      <c r="L511" s="289"/>
      <c r="M511" s="289" t="n">
        <v>600000</v>
      </c>
      <c r="N511" s="289"/>
      <c r="O511" s="289"/>
      <c r="P511" s="289"/>
      <c r="Q511" s="289" t="n">
        <v>600000</v>
      </c>
      <c r="R511" s="289"/>
      <c r="S511" s="289"/>
      <c r="T511" s="289"/>
      <c r="U511" s="289" t="n">
        <v>600000</v>
      </c>
      <c r="V511" s="289"/>
      <c r="W511" s="289"/>
      <c r="X511" s="289"/>
      <c r="Y511" s="289" t="n">
        <v>600000</v>
      </c>
      <c r="Z511" s="289"/>
      <c r="AA511" s="289"/>
      <c r="AB511" s="289"/>
      <c r="AC511" s="289" t="n">
        <v>600000</v>
      </c>
      <c r="AD511" s="289"/>
      <c r="AE511" s="289"/>
      <c r="AF511" s="289"/>
      <c r="AG511" s="289" t="n">
        <v>600000</v>
      </c>
      <c r="AH511" s="289"/>
      <c r="AI511" s="289"/>
      <c r="AJ511" s="289"/>
      <c r="AK511" s="289" t="n">
        <v>600000</v>
      </c>
      <c r="AL511" s="289"/>
      <c r="AM511" s="289"/>
      <c r="AN511" s="289"/>
      <c r="AO511" s="289" t="n">
        <v>600000</v>
      </c>
      <c r="AP511" s="289"/>
      <c r="AQ511" s="289"/>
      <c r="AR511" s="289"/>
    </row>
    <row r="512" customFormat="false" ht="39.95" hidden="false" customHeight="true" outlineLevel="0" collapsed="false">
      <c r="A512" s="180" t="s">
        <v>1916</v>
      </c>
      <c r="B512" s="180"/>
      <c r="C512" s="180"/>
      <c r="D512" s="180"/>
      <c r="E512" s="180"/>
      <c r="F512" s="180"/>
      <c r="G512" s="180"/>
      <c r="H512" s="180"/>
      <c r="I512" s="288" t="n">
        <v>500000</v>
      </c>
      <c r="J512" s="288"/>
      <c r="K512" s="288"/>
      <c r="L512" s="288"/>
      <c r="M512" s="289" t="n">
        <v>500000</v>
      </c>
      <c r="N512" s="289"/>
      <c r="O512" s="289"/>
      <c r="P512" s="289"/>
      <c r="Q512" s="289" t="n">
        <v>500000</v>
      </c>
      <c r="R512" s="289"/>
      <c r="S512" s="289"/>
      <c r="T512" s="289"/>
      <c r="U512" s="289" t="n">
        <v>500000</v>
      </c>
      <c r="V512" s="289"/>
      <c r="W512" s="289"/>
      <c r="X512" s="289"/>
      <c r="Y512" s="289" t="n">
        <v>500000</v>
      </c>
      <c r="Z512" s="289"/>
      <c r="AA512" s="289"/>
      <c r="AB512" s="289"/>
      <c r="AC512" s="289" t="n">
        <v>500000</v>
      </c>
      <c r="AD512" s="289"/>
      <c r="AE512" s="289"/>
      <c r="AF512" s="289"/>
      <c r="AG512" s="289" t="n">
        <v>500000</v>
      </c>
      <c r="AH512" s="289"/>
      <c r="AI512" s="289"/>
      <c r="AJ512" s="289"/>
      <c r="AK512" s="289" t="n">
        <v>500000</v>
      </c>
      <c r="AL512" s="289"/>
      <c r="AM512" s="289"/>
      <c r="AN512" s="289"/>
      <c r="AO512" s="289" t="n">
        <v>500000</v>
      </c>
      <c r="AP512" s="289"/>
      <c r="AQ512" s="289"/>
      <c r="AR512" s="289"/>
    </row>
    <row r="513" customFormat="false" ht="39.95" hidden="false" customHeight="true" outlineLevel="0" collapsed="false">
      <c r="A513" s="180" t="s">
        <v>1866</v>
      </c>
      <c r="B513" s="180"/>
      <c r="C513" s="180"/>
      <c r="D513" s="180"/>
      <c r="E513" s="180"/>
      <c r="F513" s="180"/>
      <c r="G513" s="180"/>
      <c r="H513" s="180"/>
      <c r="I513" s="288" t="n">
        <v>150000</v>
      </c>
      <c r="J513" s="288"/>
      <c r="K513" s="288"/>
      <c r="L513" s="288"/>
      <c r="M513" s="289" t="n">
        <v>150000</v>
      </c>
      <c r="N513" s="289"/>
      <c r="O513" s="289"/>
      <c r="P513" s="289"/>
      <c r="Q513" s="289" t="n">
        <v>150000</v>
      </c>
      <c r="R513" s="289"/>
      <c r="S513" s="289"/>
      <c r="T513" s="289"/>
      <c r="U513" s="289" t="n">
        <v>150000</v>
      </c>
      <c r="V513" s="289"/>
      <c r="W513" s="289"/>
      <c r="X513" s="289"/>
      <c r="Y513" s="289" t="n">
        <v>150000</v>
      </c>
      <c r="Z513" s="289"/>
      <c r="AA513" s="289"/>
      <c r="AB513" s="289"/>
      <c r="AC513" s="289" t="n">
        <v>150000</v>
      </c>
      <c r="AD513" s="289"/>
      <c r="AE513" s="289"/>
      <c r="AF513" s="289"/>
      <c r="AG513" s="289" t="n">
        <v>150000</v>
      </c>
      <c r="AH513" s="289"/>
      <c r="AI513" s="289"/>
      <c r="AJ513" s="289"/>
      <c r="AK513" s="289" t="n">
        <v>150000</v>
      </c>
      <c r="AL513" s="289"/>
      <c r="AM513" s="289"/>
      <c r="AN513" s="289"/>
      <c r="AO513" s="289" t="n">
        <v>150000</v>
      </c>
      <c r="AP513" s="289"/>
      <c r="AQ513" s="289"/>
      <c r="AR513" s="289"/>
    </row>
    <row r="514" customFormat="false" ht="39.95" hidden="false" customHeight="true" outlineLevel="0" collapsed="false">
      <c r="A514" s="180" t="s">
        <v>1867</v>
      </c>
      <c r="B514" s="180"/>
      <c r="C514" s="180"/>
      <c r="D514" s="180"/>
      <c r="E514" s="180"/>
      <c r="F514" s="180"/>
      <c r="G514" s="180"/>
      <c r="H514" s="180"/>
      <c r="I514" s="288" t="n">
        <v>500000</v>
      </c>
      <c r="J514" s="288"/>
      <c r="K514" s="288"/>
      <c r="L514" s="288"/>
      <c r="M514" s="289" t="n">
        <v>500000</v>
      </c>
      <c r="N514" s="289"/>
      <c r="O514" s="289"/>
      <c r="P514" s="289"/>
      <c r="Q514" s="289" t="n">
        <v>500000</v>
      </c>
      <c r="R514" s="289"/>
      <c r="S514" s="289"/>
      <c r="T514" s="289"/>
      <c r="U514" s="289" t="n">
        <v>500000</v>
      </c>
      <c r="V514" s="289"/>
      <c r="W514" s="289"/>
      <c r="X514" s="289"/>
      <c r="Y514" s="289" t="n">
        <v>500000</v>
      </c>
      <c r="Z514" s="289"/>
      <c r="AA514" s="289"/>
      <c r="AB514" s="289"/>
      <c r="AC514" s="289" t="n">
        <v>500000</v>
      </c>
      <c r="AD514" s="289"/>
      <c r="AE514" s="289"/>
      <c r="AF514" s="289"/>
      <c r="AG514" s="289" t="n">
        <v>500000</v>
      </c>
      <c r="AH514" s="289"/>
      <c r="AI514" s="289"/>
      <c r="AJ514" s="289"/>
      <c r="AK514" s="289" t="n">
        <v>500000</v>
      </c>
      <c r="AL514" s="289"/>
      <c r="AM514" s="289"/>
      <c r="AN514" s="289"/>
      <c r="AO514" s="289" t="n">
        <v>500000</v>
      </c>
      <c r="AP514" s="289"/>
      <c r="AQ514" s="289"/>
      <c r="AR514" s="289"/>
    </row>
    <row r="515" customFormat="false" ht="39.95" hidden="false" customHeight="true" outlineLevel="0" collapsed="false">
      <c r="A515" s="180" t="s">
        <v>1986</v>
      </c>
      <c r="B515" s="180"/>
      <c r="C515" s="180"/>
      <c r="D515" s="180"/>
      <c r="E515" s="180"/>
      <c r="F515" s="180"/>
      <c r="G515" s="180"/>
      <c r="H515" s="180"/>
      <c r="I515" s="288" t="n">
        <v>150000</v>
      </c>
      <c r="J515" s="288"/>
      <c r="K515" s="288"/>
      <c r="L515" s="288"/>
      <c r="M515" s="289" t="n">
        <v>150000</v>
      </c>
      <c r="N515" s="289"/>
      <c r="O515" s="289"/>
      <c r="P515" s="289"/>
      <c r="Q515" s="289" t="n">
        <v>150000</v>
      </c>
      <c r="R515" s="289"/>
      <c r="S515" s="289"/>
      <c r="T515" s="289"/>
      <c r="U515" s="289" t="n">
        <v>150000</v>
      </c>
      <c r="V515" s="289"/>
      <c r="W515" s="289"/>
      <c r="X515" s="289"/>
      <c r="Y515" s="289" t="n">
        <v>150000</v>
      </c>
      <c r="Z515" s="289"/>
      <c r="AA515" s="289"/>
      <c r="AB515" s="289"/>
      <c r="AC515" s="289" t="n">
        <v>150000</v>
      </c>
      <c r="AD515" s="289"/>
      <c r="AE515" s="289"/>
      <c r="AF515" s="289"/>
      <c r="AG515" s="289" t="n">
        <v>150000</v>
      </c>
      <c r="AH515" s="289"/>
      <c r="AI515" s="289"/>
      <c r="AJ515" s="289"/>
      <c r="AK515" s="289" t="n">
        <v>150000</v>
      </c>
      <c r="AL515" s="289"/>
      <c r="AM515" s="289"/>
      <c r="AN515" s="289"/>
      <c r="AO515" s="289" t="n">
        <v>150000</v>
      </c>
      <c r="AP515" s="289"/>
      <c r="AQ515" s="289"/>
      <c r="AR515" s="289"/>
    </row>
    <row r="516" customFormat="false" ht="39.95" hidden="false" customHeight="true" outlineLevel="0" collapsed="false">
      <c r="A516" s="180" t="s">
        <v>1918</v>
      </c>
      <c r="B516" s="180"/>
      <c r="C516" s="180"/>
      <c r="D516" s="180"/>
      <c r="E516" s="180"/>
      <c r="F516" s="180"/>
      <c r="G516" s="180"/>
      <c r="H516" s="180"/>
      <c r="I516" s="290" t="n">
        <v>1300000</v>
      </c>
      <c r="J516" s="290"/>
      <c r="K516" s="290"/>
      <c r="L516" s="290"/>
      <c r="M516" s="291" t="n">
        <v>1300000</v>
      </c>
      <c r="N516" s="291"/>
      <c r="O516" s="291"/>
      <c r="P516" s="291"/>
      <c r="Q516" s="291" t="n">
        <v>1300000</v>
      </c>
      <c r="R516" s="291"/>
      <c r="S516" s="291"/>
      <c r="T516" s="291"/>
      <c r="U516" s="291" t="n">
        <v>1300000</v>
      </c>
      <c r="V516" s="291"/>
      <c r="W516" s="291"/>
      <c r="X516" s="291"/>
      <c r="Y516" s="291" t="n">
        <v>1300000</v>
      </c>
      <c r="Z516" s="291"/>
      <c r="AA516" s="291"/>
      <c r="AB516" s="291"/>
      <c r="AC516" s="291" t="n">
        <v>1300000</v>
      </c>
      <c r="AD516" s="291"/>
      <c r="AE516" s="291"/>
      <c r="AF516" s="291"/>
      <c r="AG516" s="291" t="n">
        <v>1300000</v>
      </c>
      <c r="AH516" s="291"/>
      <c r="AI516" s="291"/>
      <c r="AJ516" s="291"/>
      <c r="AK516" s="291" t="n">
        <v>1300000</v>
      </c>
      <c r="AL516" s="291"/>
      <c r="AM516" s="291"/>
      <c r="AN516" s="291"/>
      <c r="AO516" s="291" t="n">
        <v>1300000</v>
      </c>
      <c r="AP516" s="291"/>
      <c r="AQ516" s="291"/>
      <c r="AR516" s="291"/>
    </row>
    <row r="517" customFormat="false" ht="39.95" hidden="false" customHeight="true" outlineLevel="0" collapsed="false">
      <c r="A517" s="180"/>
      <c r="B517" s="180"/>
      <c r="C517" s="180"/>
      <c r="D517" s="180"/>
      <c r="E517" s="180"/>
      <c r="F517" s="180"/>
      <c r="G517" s="180"/>
      <c r="H517" s="180"/>
      <c r="I517" s="290"/>
      <c r="J517" s="290"/>
      <c r="K517" s="290"/>
      <c r="L517" s="290"/>
      <c r="M517" s="290"/>
      <c r="N517" s="290"/>
      <c r="O517" s="290"/>
      <c r="P517" s="290"/>
      <c r="Q517" s="290"/>
      <c r="R517" s="290"/>
      <c r="S517" s="290"/>
      <c r="T517" s="290"/>
      <c r="U517" s="290"/>
      <c r="V517" s="290"/>
      <c r="W517" s="290"/>
      <c r="X517" s="290"/>
      <c r="Y517" s="290"/>
      <c r="Z517" s="290"/>
      <c r="AA517" s="290"/>
      <c r="AB517" s="290"/>
      <c r="AC517" s="290"/>
      <c r="AD517" s="290"/>
      <c r="AE517" s="290"/>
      <c r="AF517" s="290"/>
      <c r="AG517" s="290"/>
      <c r="AH517" s="290"/>
      <c r="AI517" s="290"/>
      <c r="AJ517" s="290"/>
      <c r="AK517" s="290"/>
      <c r="AL517" s="290"/>
      <c r="AM517" s="290"/>
      <c r="AN517" s="290"/>
      <c r="AO517" s="290"/>
      <c r="AP517" s="290"/>
      <c r="AQ517" s="290"/>
      <c r="AR517" s="290"/>
    </row>
    <row r="518" customFormat="false" ht="39.95" hidden="false" customHeight="true" outlineLevel="0" collapsed="false">
      <c r="A518" s="180"/>
      <c r="B518" s="180"/>
      <c r="C518" s="180"/>
      <c r="D518" s="180"/>
      <c r="E518" s="180"/>
      <c r="F518" s="180"/>
      <c r="G518" s="180"/>
      <c r="H518" s="180"/>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c r="AK518" s="292"/>
      <c r="AL518" s="292"/>
      <c r="AM518" s="292"/>
      <c r="AN518" s="292"/>
      <c r="AO518" s="292"/>
      <c r="AP518" s="292"/>
      <c r="AQ518" s="292"/>
      <c r="AR518" s="292"/>
    </row>
    <row r="519" customFormat="false" ht="37.5" hidden="false" customHeight="true" outlineLevel="0" collapsed="false">
      <c r="A519" s="193" t="s">
        <v>1809</v>
      </c>
      <c r="B519" s="193"/>
      <c r="C519" s="193"/>
      <c r="D519" s="193"/>
      <c r="E519" s="193"/>
      <c r="F519" s="193"/>
      <c r="G519" s="193"/>
      <c r="H519" s="193"/>
      <c r="I519" s="293" t="n">
        <f aca="false">SUM(I509:L518)</f>
        <v>10812800</v>
      </c>
      <c r="J519" s="293"/>
      <c r="K519" s="293"/>
      <c r="L519" s="293"/>
      <c r="M519" s="294" t="n">
        <f aca="false">SUM(M509:P518)</f>
        <v>7812800</v>
      </c>
      <c r="N519" s="294"/>
      <c r="O519" s="294"/>
      <c r="P519" s="294"/>
      <c r="Q519" s="294" t="n">
        <f aca="false">SUM(Q509:T518)</f>
        <v>7812800</v>
      </c>
      <c r="R519" s="294"/>
      <c r="S519" s="294"/>
      <c r="T519" s="294"/>
      <c r="U519" s="294" t="n">
        <f aca="false">SUM(U509:X518)</f>
        <v>7812800</v>
      </c>
      <c r="V519" s="294"/>
      <c r="W519" s="294"/>
      <c r="X519" s="294"/>
      <c r="Y519" s="294" t="n">
        <f aca="false">SUM(Y509:AB518)</f>
        <v>7812800</v>
      </c>
      <c r="Z519" s="294"/>
      <c r="AA519" s="294"/>
      <c r="AB519" s="294"/>
      <c r="AC519" s="294" t="n">
        <f aca="false">SUM(AC509:AF518)</f>
        <v>7812800</v>
      </c>
      <c r="AD519" s="294"/>
      <c r="AE519" s="294"/>
      <c r="AF519" s="294"/>
      <c r="AG519" s="294" t="n">
        <f aca="false">SUM(AG509:AJ518)</f>
        <v>7812800</v>
      </c>
      <c r="AH519" s="294"/>
      <c r="AI519" s="294"/>
      <c r="AJ519" s="294"/>
      <c r="AK519" s="294" t="n">
        <f aca="false">SUM(AK509:AN518)</f>
        <v>7812800</v>
      </c>
      <c r="AL519" s="294"/>
      <c r="AM519" s="294"/>
      <c r="AN519" s="294"/>
      <c r="AO519" s="294" t="n">
        <f aca="false">SUM(AO509:AR518)</f>
        <v>7812800</v>
      </c>
      <c r="AP519" s="294"/>
      <c r="AQ519" s="294"/>
      <c r="AR519" s="294"/>
    </row>
    <row r="521" customFormat="false" ht="43.5" hidden="false" customHeight="true" outlineLevel="0" collapsed="false">
      <c r="A521" s="295" t="s">
        <v>1987</v>
      </c>
      <c r="B521" s="295"/>
      <c r="C521" s="295"/>
      <c r="D521" s="295"/>
      <c r="E521" s="295"/>
      <c r="F521" s="295"/>
      <c r="G521" s="295"/>
      <c r="H521" s="295"/>
      <c r="I521" s="296" t="n">
        <f aca="false">+SUM(I519:AR519)</f>
        <v>73315200</v>
      </c>
      <c r="J521" s="296"/>
      <c r="K521" s="296"/>
      <c r="L521" s="296"/>
      <c r="M521" s="296"/>
      <c r="N521" s="296"/>
      <c r="O521" s="296"/>
      <c r="P521" s="296"/>
      <c r="Q521" s="297" t="str">
        <f aca="false">IF(I521=AE480,"CORRESPONDE A VALOR SOLICITADO AL FONDO","NO CORRESPONDE A VALOR SOLICITADO AL FONDO")</f>
        <v>NO CORRESPONDE A VALOR SOLICITADO AL FONDO</v>
      </c>
      <c r="R521" s="297"/>
      <c r="S521" s="297"/>
      <c r="T521" s="297"/>
      <c r="U521" s="297"/>
      <c r="V521" s="297"/>
      <c r="W521" s="297"/>
      <c r="X521" s="297"/>
      <c r="Y521" s="297"/>
      <c r="Z521" s="297"/>
      <c r="AA521" s="297"/>
      <c r="AB521" s="297"/>
      <c r="AC521" s="297"/>
      <c r="AD521" s="297"/>
      <c r="AE521" s="297"/>
      <c r="AF521" s="297"/>
      <c r="AG521" s="297"/>
      <c r="AH521" s="297"/>
      <c r="AI521" s="297"/>
    </row>
    <row r="523" customFormat="false" ht="28.5" hidden="false" customHeight="false" outlineLevel="0" collapsed="false">
      <c r="A523" s="83" t="s">
        <v>1622</v>
      </c>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row>
    <row r="524" s="73" customFormat="true" ht="15" hidden="false" customHeight="true" outlineLevel="0" collapsed="false">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W524" s="74"/>
    </row>
    <row r="525" s="73" customFormat="true" ht="45" hidden="false" customHeight="true" outlineLevel="0" collapsed="false">
      <c r="A525" s="192" t="s">
        <v>1988</v>
      </c>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c r="AW525" s="74"/>
    </row>
    <row r="526" s="73" customFormat="true" ht="30" hidden="false" customHeight="true" outlineLevel="0" collapsed="false">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W526" s="74"/>
    </row>
    <row r="527" s="73" customFormat="true" ht="90.75" hidden="false" customHeight="true" outlineLevel="0" collapsed="false">
      <c r="A527" s="298" t="s">
        <v>1989</v>
      </c>
      <c r="B527" s="298"/>
      <c r="C527" s="298"/>
      <c r="D527" s="298"/>
      <c r="E527" s="298"/>
      <c r="F527" s="298"/>
      <c r="G527" s="298"/>
      <c r="H527" s="298"/>
      <c r="I527" s="298"/>
      <c r="J527" s="298"/>
      <c r="K527" s="299" t="s">
        <v>1990</v>
      </c>
      <c r="L527" s="299"/>
      <c r="M527" s="299"/>
      <c r="N527" s="299"/>
      <c r="O527" s="299"/>
      <c r="P527" s="299"/>
      <c r="Q527" s="299"/>
      <c r="R527" s="299"/>
      <c r="S527" s="299"/>
      <c r="T527" s="299"/>
      <c r="U527" s="299"/>
      <c r="V527" s="299"/>
      <c r="W527" s="299"/>
      <c r="X527" s="299"/>
      <c r="Y527" s="299"/>
      <c r="Z527" s="299"/>
      <c r="AA527" s="299"/>
      <c r="AB527" s="299"/>
      <c r="AC527" s="299"/>
      <c r="AD527" s="299"/>
      <c r="AE527" s="299"/>
      <c r="AF527" s="299"/>
      <c r="AG527" s="299"/>
      <c r="AH527" s="299"/>
      <c r="AI527" s="299"/>
      <c r="AJ527" s="299"/>
      <c r="AK527" s="299"/>
      <c r="AL527" s="299"/>
      <c r="AM527" s="299"/>
      <c r="AN527" s="299"/>
      <c r="AO527" s="299"/>
      <c r="AW527" s="74"/>
    </row>
    <row r="528" s="73" customFormat="true" ht="90.75" hidden="false" customHeight="true" outlineLevel="0" collapsed="false">
      <c r="A528" s="298" t="s">
        <v>1969</v>
      </c>
      <c r="B528" s="298"/>
      <c r="C528" s="298"/>
      <c r="D528" s="298"/>
      <c r="E528" s="298"/>
      <c r="F528" s="298"/>
      <c r="G528" s="298"/>
      <c r="H528" s="298"/>
      <c r="I528" s="298"/>
      <c r="J528" s="298"/>
      <c r="K528" s="299" t="s">
        <v>1991</v>
      </c>
      <c r="L528" s="299"/>
      <c r="M528" s="299"/>
      <c r="N528" s="299"/>
      <c r="O528" s="299"/>
      <c r="P528" s="299"/>
      <c r="Q528" s="299"/>
      <c r="R528" s="299"/>
      <c r="S528" s="299"/>
      <c r="T528" s="299"/>
      <c r="U528" s="299"/>
      <c r="V528" s="299"/>
      <c r="W528" s="299"/>
      <c r="X528" s="299"/>
      <c r="Y528" s="299"/>
      <c r="Z528" s="299"/>
      <c r="AA528" s="299"/>
      <c r="AB528" s="299"/>
      <c r="AC528" s="299"/>
      <c r="AD528" s="299"/>
      <c r="AE528" s="299"/>
      <c r="AF528" s="299"/>
      <c r="AG528" s="299"/>
      <c r="AH528" s="299"/>
      <c r="AI528" s="299"/>
      <c r="AJ528" s="299"/>
      <c r="AK528" s="299"/>
      <c r="AL528" s="299"/>
      <c r="AM528" s="299"/>
      <c r="AN528" s="299"/>
      <c r="AO528" s="299"/>
      <c r="AW528" s="74"/>
    </row>
    <row r="529" s="73" customFormat="true" ht="90.75" hidden="false" customHeight="true" outlineLevel="0" collapsed="false">
      <c r="A529" s="298" t="s">
        <v>1992</v>
      </c>
      <c r="B529" s="298"/>
      <c r="C529" s="298"/>
      <c r="D529" s="298"/>
      <c r="E529" s="298"/>
      <c r="F529" s="298"/>
      <c r="G529" s="298"/>
      <c r="H529" s="298"/>
      <c r="I529" s="298"/>
      <c r="J529" s="298"/>
      <c r="K529" s="299" t="s">
        <v>1993</v>
      </c>
      <c r="L529" s="299"/>
      <c r="M529" s="299"/>
      <c r="N529" s="299"/>
      <c r="O529" s="299"/>
      <c r="P529" s="299"/>
      <c r="Q529" s="299"/>
      <c r="R529" s="299"/>
      <c r="S529" s="299"/>
      <c r="T529" s="299"/>
      <c r="U529" s="299"/>
      <c r="V529" s="299"/>
      <c r="W529" s="299"/>
      <c r="X529" s="299"/>
      <c r="Y529" s="299"/>
      <c r="Z529" s="299"/>
      <c r="AA529" s="299"/>
      <c r="AB529" s="299"/>
      <c r="AC529" s="299"/>
      <c r="AD529" s="299"/>
      <c r="AE529" s="299"/>
      <c r="AF529" s="299"/>
      <c r="AG529" s="299"/>
      <c r="AH529" s="299"/>
      <c r="AI529" s="299"/>
      <c r="AJ529" s="299"/>
      <c r="AK529" s="299"/>
      <c r="AL529" s="299"/>
      <c r="AM529" s="299"/>
      <c r="AN529" s="299"/>
      <c r="AO529" s="299"/>
      <c r="AW529" s="74"/>
    </row>
    <row r="530" s="73" customFormat="true" ht="90.75" hidden="false" customHeight="true" outlineLevel="0" collapsed="false">
      <c r="A530" s="298" t="s">
        <v>1994</v>
      </c>
      <c r="B530" s="298"/>
      <c r="C530" s="298"/>
      <c r="D530" s="298"/>
      <c r="E530" s="298"/>
      <c r="F530" s="298"/>
      <c r="G530" s="298"/>
      <c r="H530" s="298"/>
      <c r="I530" s="298"/>
      <c r="J530" s="298"/>
      <c r="K530" s="299" t="s">
        <v>1995</v>
      </c>
      <c r="L530" s="299"/>
      <c r="M530" s="299"/>
      <c r="N530" s="299"/>
      <c r="O530" s="299"/>
      <c r="P530" s="299"/>
      <c r="Q530" s="299"/>
      <c r="R530" s="299"/>
      <c r="S530" s="299"/>
      <c r="T530" s="299"/>
      <c r="U530" s="299"/>
      <c r="V530" s="299"/>
      <c r="W530" s="299"/>
      <c r="X530" s="299"/>
      <c r="Y530" s="299"/>
      <c r="Z530" s="299"/>
      <c r="AA530" s="299"/>
      <c r="AB530" s="299"/>
      <c r="AC530" s="299"/>
      <c r="AD530" s="299"/>
      <c r="AE530" s="299"/>
      <c r="AF530" s="299"/>
      <c r="AG530" s="299"/>
      <c r="AH530" s="299"/>
      <c r="AI530" s="299"/>
      <c r="AJ530" s="299"/>
      <c r="AK530" s="299"/>
      <c r="AL530" s="299"/>
      <c r="AM530" s="299"/>
      <c r="AN530" s="299"/>
      <c r="AO530" s="299"/>
      <c r="AW530" s="74"/>
    </row>
    <row r="533" customFormat="false" ht="30" hidden="false" customHeight="true" outlineLevel="0" collapsed="false">
      <c r="A533" s="71" t="s">
        <v>1624</v>
      </c>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c r="AF533" s="71"/>
      <c r="AG533" s="71"/>
      <c r="AH533" s="71"/>
      <c r="AI533" s="71"/>
      <c r="AJ533" s="71"/>
      <c r="AK533" s="71"/>
      <c r="AL533" s="71"/>
      <c r="AM533" s="71"/>
      <c r="AN533" s="71"/>
    </row>
    <row r="534" customFormat="false" ht="37.5" hidden="false" customHeight="true" outlineLevel="0" collapsed="false">
      <c r="A534" s="62" t="s">
        <v>1996</v>
      </c>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row>
    <row r="535" customFormat="false" ht="39" hidden="false" customHeight="true" outlineLevel="0" collapsed="false">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row>
    <row r="537" customFormat="false" ht="39.95" hidden="false" customHeight="true" outlineLevel="0" collapsed="false">
      <c r="A537" s="79" t="s">
        <v>1997</v>
      </c>
      <c r="B537" s="79"/>
      <c r="C537" s="79"/>
      <c r="D537" s="79"/>
      <c r="E537" s="79"/>
      <c r="F537" s="79"/>
      <c r="G537" s="79"/>
      <c r="H537" s="79"/>
      <c r="I537" s="79"/>
      <c r="J537" s="79"/>
      <c r="K537" s="300" t="s">
        <v>1998</v>
      </c>
      <c r="L537" s="300"/>
      <c r="M537" s="300"/>
      <c r="N537" s="300"/>
      <c r="O537" s="300"/>
      <c r="P537" s="300"/>
      <c r="Q537" s="300"/>
      <c r="R537" s="300" t="s">
        <v>1999</v>
      </c>
      <c r="S537" s="300"/>
      <c r="T537" s="300"/>
      <c r="U537" s="300"/>
      <c r="V537" s="300"/>
      <c r="W537" s="300"/>
      <c r="X537" s="300"/>
      <c r="Y537" s="300"/>
      <c r="Z537" s="300"/>
      <c r="AA537" s="300"/>
      <c r="AB537" s="300"/>
      <c r="AC537" s="300"/>
      <c r="AD537" s="300"/>
      <c r="AE537" s="300"/>
      <c r="AF537" s="300"/>
      <c r="AG537" s="300"/>
      <c r="AH537" s="300"/>
      <c r="AI537" s="300"/>
      <c r="AJ537" s="300"/>
      <c r="AK537" s="300"/>
      <c r="AL537" s="300"/>
      <c r="AM537" s="300"/>
      <c r="AN537" s="300"/>
    </row>
    <row r="538" customFormat="false" ht="69" hidden="false" customHeight="true" outlineLevel="0" collapsed="false">
      <c r="A538" s="156" t="s">
        <v>2000</v>
      </c>
      <c r="B538" s="156"/>
      <c r="C538" s="156"/>
      <c r="D538" s="156"/>
      <c r="E538" s="156"/>
      <c r="F538" s="156"/>
      <c r="G538" s="156"/>
      <c r="H538" s="156"/>
      <c r="I538" s="156"/>
      <c r="J538" s="156"/>
      <c r="K538" s="301" t="n">
        <f aca="false">+SUM(AS414:AS423)</f>
        <v>3</v>
      </c>
      <c r="L538" s="301"/>
      <c r="M538" s="301"/>
      <c r="N538" s="301"/>
      <c r="O538" s="301"/>
      <c r="P538" s="301"/>
      <c r="Q538" s="301"/>
      <c r="R538" s="302" t="s">
        <v>2001</v>
      </c>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row>
    <row r="539" customFormat="false" ht="39.95" hidden="false" customHeight="true" outlineLevel="0" collapsed="false">
      <c r="A539" s="156" t="s">
        <v>2002</v>
      </c>
      <c r="B539" s="156"/>
      <c r="C539" s="156"/>
      <c r="D539" s="156"/>
      <c r="E539" s="156"/>
      <c r="F539" s="156"/>
      <c r="G539" s="156"/>
      <c r="H539" s="156"/>
      <c r="I539" s="156"/>
      <c r="J539" s="156"/>
      <c r="K539" s="301" t="n">
        <f aca="false">+(AO223+AO224+AO225+AO230+AO231+AO232+AO233+AO237+AO238+AO239+AO240)</f>
        <v>1</v>
      </c>
      <c r="L539" s="301"/>
      <c r="M539" s="301"/>
      <c r="N539" s="301"/>
      <c r="O539" s="301"/>
      <c r="P539" s="301"/>
      <c r="Q539" s="301"/>
      <c r="R539" s="302" t="s">
        <v>2003</v>
      </c>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row>
    <row r="540" customFormat="false" ht="64.5" hidden="false" customHeight="true" outlineLevel="0" collapsed="false">
      <c r="A540" s="156" t="s">
        <v>2004</v>
      </c>
      <c r="B540" s="156"/>
      <c r="C540" s="156"/>
      <c r="D540" s="156"/>
      <c r="E540" s="156"/>
      <c r="F540" s="156"/>
      <c r="G540" s="156"/>
      <c r="H540" s="156"/>
      <c r="I540" s="156"/>
      <c r="J540" s="156"/>
      <c r="K540" s="303" t="n">
        <f aca="false" t="array" ref="K540:K540">+IF(OR(AE480="",AE480=0),0,_xlfn.IFS(AE480&lt;=122563350,5,AE480&lt;=523020595,8,AE480&lt;=698611095,10,AE480&lt;=1050543000,12,AE480&lt;=1575814500,14,AE480&lt;=1925995500,16,TRUE(),"Fuera de rango"))</f>
        <v>5</v>
      </c>
      <c r="L540" s="303"/>
      <c r="M540" s="303"/>
      <c r="N540" s="303"/>
      <c r="O540" s="303"/>
      <c r="P540" s="303"/>
      <c r="Q540" s="303"/>
      <c r="R540" s="302" t="s">
        <v>2005</v>
      </c>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row>
    <row r="541" customFormat="false" ht="39.95" hidden="false" customHeight="true" outlineLevel="0" collapsed="false">
      <c r="A541" s="156" t="s">
        <v>2006</v>
      </c>
      <c r="B541" s="156"/>
      <c r="C541" s="156"/>
      <c r="D541" s="156"/>
      <c r="E541" s="156"/>
      <c r="F541" s="156"/>
      <c r="G541" s="156"/>
      <c r="H541" s="156"/>
      <c r="I541" s="156"/>
      <c r="J541" s="156"/>
      <c r="K541" s="304" t="n">
        <f aca="false">+AE480</f>
        <v>75115200</v>
      </c>
      <c r="L541" s="304"/>
      <c r="M541" s="304"/>
      <c r="N541" s="304"/>
      <c r="O541" s="304"/>
      <c r="P541" s="304"/>
      <c r="Q541" s="304"/>
      <c r="R541" s="302" t="s">
        <v>2007</v>
      </c>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R541" s="0"/>
    </row>
    <row r="542" customFormat="false" ht="39.95" hidden="false" customHeight="true" outlineLevel="0" collapsed="false">
      <c r="A542" s="156" t="s">
        <v>2008</v>
      </c>
      <c r="B542" s="156"/>
      <c r="C542" s="156"/>
      <c r="D542" s="156"/>
      <c r="E542" s="156"/>
      <c r="F542" s="156"/>
      <c r="G542" s="156"/>
      <c r="H542" s="156"/>
      <c r="I542" s="156"/>
      <c r="J542" s="156"/>
      <c r="K542" s="301" t="n">
        <f aca="false">+G280+G298+G316</f>
        <v>18</v>
      </c>
      <c r="L542" s="301"/>
      <c r="M542" s="301"/>
      <c r="N542" s="301"/>
      <c r="O542" s="301"/>
      <c r="P542" s="301"/>
      <c r="Q542" s="301"/>
      <c r="R542" s="305" t="s">
        <v>2009</v>
      </c>
      <c r="S542" s="305"/>
      <c r="T542" s="305"/>
      <c r="U542" s="305"/>
      <c r="V542" s="305"/>
      <c r="W542" s="305"/>
      <c r="X542" s="305"/>
      <c r="Y542" s="305"/>
      <c r="Z542" s="305"/>
      <c r="AA542" s="305"/>
      <c r="AB542" s="305"/>
      <c r="AC542" s="305"/>
      <c r="AD542" s="305"/>
      <c r="AE542" s="305"/>
      <c r="AF542" s="305"/>
      <c r="AG542" s="305"/>
      <c r="AH542" s="305"/>
      <c r="AI542" s="305"/>
      <c r="AJ542" s="305"/>
      <c r="AK542" s="305"/>
      <c r="AL542" s="305"/>
      <c r="AM542" s="305"/>
      <c r="AN542" s="305"/>
    </row>
    <row r="543" customFormat="false" ht="39.95" hidden="false" customHeight="true" outlineLevel="0" collapsed="false">
      <c r="A543" s="156" t="s">
        <v>2010</v>
      </c>
      <c r="B543" s="156"/>
      <c r="C543" s="156"/>
      <c r="D543" s="156"/>
      <c r="E543" s="156"/>
      <c r="F543" s="156"/>
      <c r="G543" s="156"/>
      <c r="H543" s="156"/>
      <c r="I543" s="156"/>
      <c r="J543" s="156"/>
      <c r="K543" s="304" t="n">
        <f aca="false">+K280+K298+K316</f>
        <v>63000000</v>
      </c>
      <c r="L543" s="304"/>
      <c r="M543" s="304"/>
      <c r="N543" s="304"/>
      <c r="O543" s="304"/>
      <c r="P543" s="304"/>
      <c r="Q543" s="304"/>
      <c r="R543" s="305" t="s">
        <v>2011</v>
      </c>
      <c r="S543" s="305"/>
      <c r="T543" s="305"/>
      <c r="U543" s="305"/>
      <c r="V543" s="305"/>
      <c r="W543" s="305"/>
      <c r="X543" s="305"/>
      <c r="Y543" s="305"/>
      <c r="Z543" s="305"/>
      <c r="AA543" s="305"/>
      <c r="AB543" s="305"/>
      <c r="AC543" s="305"/>
      <c r="AD543" s="305"/>
      <c r="AE543" s="305"/>
      <c r="AF543" s="305"/>
      <c r="AG543" s="305"/>
      <c r="AH543" s="305"/>
      <c r="AI543" s="305"/>
      <c r="AJ543" s="305"/>
      <c r="AK543" s="305"/>
      <c r="AL543" s="305"/>
      <c r="AM543" s="305"/>
      <c r="AN543" s="305"/>
    </row>
    <row r="546" customFormat="false" ht="30" hidden="false" customHeight="true" outlineLevel="0" collapsed="false">
      <c r="A546" s="212" t="s">
        <v>1626</v>
      </c>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212"/>
      <c r="AK546" s="212"/>
      <c r="AL546" s="212"/>
      <c r="AM546" s="212"/>
      <c r="AN546" s="212"/>
    </row>
    <row r="548" customFormat="false" ht="45" hidden="false" customHeight="true" outlineLevel="0" collapsed="false">
      <c r="A548" s="306" t="s">
        <v>2012</v>
      </c>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c r="AA548" s="306"/>
      <c r="AB548" s="306"/>
      <c r="AC548" s="306"/>
      <c r="AD548" s="306"/>
      <c r="AE548" s="306"/>
      <c r="AF548" s="306"/>
      <c r="AG548" s="306"/>
      <c r="AH548" s="306"/>
      <c r="AI548" s="306"/>
      <c r="AJ548" s="306"/>
      <c r="AK548" s="306"/>
      <c r="AL548" s="306"/>
      <c r="AM548" s="306"/>
      <c r="AN548" s="306"/>
    </row>
    <row r="550" customFormat="false" ht="39.95" hidden="false" customHeight="true" outlineLevel="0" collapsed="false">
      <c r="A550" s="198" t="s">
        <v>2013</v>
      </c>
      <c r="B550" s="198"/>
      <c r="C550" s="198"/>
      <c r="D550" s="198"/>
      <c r="E550" s="198"/>
      <c r="F550" s="198"/>
      <c r="G550" s="198"/>
      <c r="H550" s="198"/>
      <c r="I550" s="198"/>
      <c r="J550" s="198"/>
      <c r="K550" s="307" t="s">
        <v>2014</v>
      </c>
      <c r="L550" s="307"/>
      <c r="M550" s="307"/>
      <c r="N550" s="307"/>
      <c r="O550" s="307"/>
      <c r="P550" s="307"/>
      <c r="Q550" s="307"/>
      <c r="R550" s="307"/>
      <c r="S550" s="307"/>
      <c r="T550" s="308" t="s">
        <v>2015</v>
      </c>
      <c r="U550" s="308"/>
      <c r="V550" s="308"/>
      <c r="W550" s="308"/>
      <c r="X550" s="308"/>
      <c r="Y550" s="308"/>
      <c r="Z550" s="308"/>
      <c r="AA550" s="308"/>
      <c r="AB550" s="309" t="s">
        <v>2016</v>
      </c>
      <c r="AC550" s="309"/>
      <c r="AD550" s="309"/>
      <c r="AE550" s="309"/>
      <c r="AF550" s="309"/>
      <c r="AG550" s="309"/>
      <c r="AH550" s="309"/>
      <c r="AI550" s="309"/>
      <c r="AJ550" s="309"/>
      <c r="AK550" s="309"/>
      <c r="AL550" s="309"/>
      <c r="AM550" s="309"/>
      <c r="AN550" s="309"/>
    </row>
    <row r="551" s="63" customFormat="true" ht="63" hidden="false" customHeight="true" outlineLevel="0" collapsed="false">
      <c r="A551" s="128" t="s">
        <v>2017</v>
      </c>
      <c r="B551" s="128"/>
      <c r="C551" s="128"/>
      <c r="D551" s="128"/>
      <c r="E551" s="128"/>
      <c r="F551" s="128"/>
      <c r="G551" s="128"/>
      <c r="H551" s="128"/>
      <c r="I551" s="128"/>
      <c r="J551" s="128"/>
      <c r="K551" s="128" t="s">
        <v>2018</v>
      </c>
      <c r="L551" s="128"/>
      <c r="M551" s="128"/>
      <c r="N551" s="128"/>
      <c r="O551" s="128"/>
      <c r="P551" s="128"/>
      <c r="Q551" s="128"/>
      <c r="R551" s="128"/>
      <c r="S551" s="128"/>
      <c r="T551" s="128" t="s">
        <v>894</v>
      </c>
      <c r="U551" s="128"/>
      <c r="V551" s="128"/>
      <c r="W551" s="128"/>
      <c r="X551" s="128"/>
      <c r="Y551" s="128"/>
      <c r="Z551" s="128"/>
      <c r="AA551" s="128"/>
      <c r="AB551" s="128" t="s">
        <v>2019</v>
      </c>
      <c r="AC551" s="128"/>
      <c r="AD551" s="128"/>
      <c r="AE551" s="128"/>
      <c r="AF551" s="128"/>
      <c r="AG551" s="128"/>
      <c r="AH551" s="128"/>
      <c r="AI551" s="128"/>
      <c r="AJ551" s="128"/>
      <c r="AK551" s="128"/>
      <c r="AL551" s="128"/>
      <c r="AM551" s="128"/>
      <c r="AN551" s="128"/>
      <c r="AW551" s="64"/>
    </row>
    <row r="552" s="63" customFormat="true" ht="63" hidden="false" customHeight="true" outlineLevel="0" collapsed="false">
      <c r="A552" s="128" t="s">
        <v>2020</v>
      </c>
      <c r="B552" s="128"/>
      <c r="C552" s="128"/>
      <c r="D552" s="128"/>
      <c r="E552" s="128"/>
      <c r="F552" s="128"/>
      <c r="G552" s="128"/>
      <c r="H552" s="128"/>
      <c r="I552" s="128"/>
      <c r="J552" s="128"/>
      <c r="K552" s="128" t="s">
        <v>2018</v>
      </c>
      <c r="L552" s="128"/>
      <c r="M552" s="128"/>
      <c r="N552" s="128"/>
      <c r="O552" s="128"/>
      <c r="P552" s="128"/>
      <c r="Q552" s="128"/>
      <c r="R552" s="128"/>
      <c r="S552" s="128"/>
      <c r="T552" s="128" t="s">
        <v>272</v>
      </c>
      <c r="U552" s="128"/>
      <c r="V552" s="128"/>
      <c r="W552" s="128"/>
      <c r="X552" s="128"/>
      <c r="Y552" s="128"/>
      <c r="Z552" s="128"/>
      <c r="AA552" s="128"/>
      <c r="AB552" s="128" t="s">
        <v>2021</v>
      </c>
      <c r="AC552" s="128"/>
      <c r="AD552" s="128"/>
      <c r="AE552" s="128"/>
      <c r="AF552" s="128"/>
      <c r="AG552" s="128"/>
      <c r="AH552" s="128"/>
      <c r="AI552" s="128"/>
      <c r="AJ552" s="128"/>
      <c r="AK552" s="128"/>
      <c r="AL552" s="128"/>
      <c r="AM552" s="128"/>
      <c r="AN552" s="128"/>
      <c r="AW552" s="64"/>
    </row>
    <row r="553" s="63" customFormat="true" ht="63" hidden="false" customHeight="true" outlineLevel="0" collapsed="false">
      <c r="A553" s="128" t="s">
        <v>2022</v>
      </c>
      <c r="B553" s="128"/>
      <c r="C553" s="128"/>
      <c r="D553" s="128"/>
      <c r="E553" s="128"/>
      <c r="F553" s="128"/>
      <c r="G553" s="128"/>
      <c r="H553" s="128"/>
      <c r="I553" s="128"/>
      <c r="J553" s="128"/>
      <c r="K553" s="128" t="s">
        <v>2023</v>
      </c>
      <c r="L553" s="128"/>
      <c r="M553" s="128"/>
      <c r="N553" s="128"/>
      <c r="O553" s="128"/>
      <c r="P553" s="128"/>
      <c r="Q553" s="128"/>
      <c r="R553" s="128"/>
      <c r="S553" s="128"/>
      <c r="T553" s="128" t="s">
        <v>1</v>
      </c>
      <c r="U553" s="128"/>
      <c r="V553" s="128"/>
      <c r="W553" s="128"/>
      <c r="X553" s="128"/>
      <c r="Y553" s="128"/>
      <c r="Z553" s="128"/>
      <c r="AA553" s="128"/>
      <c r="AB553" s="128" t="s">
        <v>2024</v>
      </c>
      <c r="AC553" s="128"/>
      <c r="AD553" s="128"/>
      <c r="AE553" s="128"/>
      <c r="AF553" s="128"/>
      <c r="AG553" s="128"/>
      <c r="AH553" s="128"/>
      <c r="AI553" s="128"/>
      <c r="AJ553" s="128"/>
      <c r="AK553" s="128"/>
      <c r="AL553" s="128"/>
      <c r="AM553" s="128"/>
      <c r="AN553" s="128"/>
      <c r="AW553" s="64"/>
    </row>
    <row r="554" s="63" customFormat="true" ht="63" hidden="false" customHeight="true" outlineLevel="0" collapsed="false">
      <c r="A554" s="180" t="s">
        <v>2025</v>
      </c>
      <c r="B554" s="180"/>
      <c r="C554" s="180"/>
      <c r="D554" s="180"/>
      <c r="E554" s="180"/>
      <c r="F554" s="180"/>
      <c r="G554" s="180"/>
      <c r="H554" s="180"/>
      <c r="I554" s="180"/>
      <c r="J554" s="180"/>
      <c r="K554" s="128" t="s">
        <v>2026</v>
      </c>
      <c r="L554" s="128"/>
      <c r="M554" s="128"/>
      <c r="N554" s="128"/>
      <c r="O554" s="128"/>
      <c r="P554" s="128"/>
      <c r="Q554" s="128"/>
      <c r="R554" s="128"/>
      <c r="S554" s="128"/>
      <c r="T554" s="128" t="s">
        <v>272</v>
      </c>
      <c r="U554" s="128"/>
      <c r="V554" s="128"/>
      <c r="W554" s="128"/>
      <c r="X554" s="128"/>
      <c r="Y554" s="128"/>
      <c r="Z554" s="128"/>
      <c r="AA554" s="128"/>
      <c r="AB554" s="128" t="s">
        <v>2027</v>
      </c>
      <c r="AC554" s="128"/>
      <c r="AD554" s="128"/>
      <c r="AE554" s="128"/>
      <c r="AF554" s="128"/>
      <c r="AG554" s="128"/>
      <c r="AH554" s="128"/>
      <c r="AI554" s="128"/>
      <c r="AJ554" s="128"/>
      <c r="AK554" s="128"/>
      <c r="AL554" s="128"/>
      <c r="AM554" s="128"/>
      <c r="AN554" s="128"/>
      <c r="AW554" s="64"/>
    </row>
    <row r="555" s="63" customFormat="true" ht="63" hidden="false" customHeight="true" outlineLevel="0" collapsed="false">
      <c r="A555" s="180" t="s">
        <v>2028</v>
      </c>
      <c r="B555" s="180"/>
      <c r="C555" s="180"/>
      <c r="D555" s="180"/>
      <c r="E555" s="180"/>
      <c r="F555" s="180"/>
      <c r="G555" s="180"/>
      <c r="H555" s="180"/>
      <c r="I555" s="180"/>
      <c r="J555" s="180"/>
      <c r="K555" s="128" t="s">
        <v>2029</v>
      </c>
      <c r="L555" s="128"/>
      <c r="M555" s="128"/>
      <c r="N555" s="128"/>
      <c r="O555" s="128"/>
      <c r="P555" s="128"/>
      <c r="Q555" s="128"/>
      <c r="R555" s="128"/>
      <c r="S555" s="128"/>
      <c r="T555" s="128" t="s">
        <v>2030</v>
      </c>
      <c r="U555" s="128"/>
      <c r="V555" s="128"/>
      <c r="W555" s="128"/>
      <c r="X555" s="128"/>
      <c r="Y555" s="128"/>
      <c r="Z555" s="128"/>
      <c r="AA555" s="128"/>
      <c r="AB555" s="128" t="s">
        <v>2031</v>
      </c>
      <c r="AC555" s="128"/>
      <c r="AD555" s="128"/>
      <c r="AE555" s="128"/>
      <c r="AF555" s="128"/>
      <c r="AG555" s="128"/>
      <c r="AH555" s="128"/>
      <c r="AI555" s="128"/>
      <c r="AJ555" s="128"/>
      <c r="AK555" s="128"/>
      <c r="AL555" s="128"/>
      <c r="AM555" s="128"/>
      <c r="AN555" s="128"/>
      <c r="AW555" s="64"/>
    </row>
    <row r="558" customFormat="false" ht="30" hidden="false" customHeight="true" outlineLevel="0" collapsed="false">
      <c r="A558" s="191" t="s">
        <v>1628</v>
      </c>
      <c r="B558" s="191"/>
      <c r="C558" s="191"/>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191"/>
      <c r="AB558" s="191"/>
      <c r="AC558" s="191"/>
      <c r="AD558" s="191"/>
      <c r="AE558" s="191"/>
      <c r="AF558" s="191"/>
      <c r="AG558" s="191"/>
      <c r="AH558" s="191"/>
      <c r="AI558" s="191"/>
      <c r="AJ558" s="191"/>
      <c r="AK558" s="191"/>
      <c r="AL558" s="191"/>
      <c r="AM558" s="191"/>
      <c r="AN558" s="191"/>
    </row>
    <row r="559" customFormat="false" ht="43.5" hidden="false" customHeight="true" outlineLevel="0" collapsed="false">
      <c r="A559" s="62" t="s">
        <v>2032</v>
      </c>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row>
    <row r="562" customFormat="false" ht="81.75" hidden="false" customHeight="true" outlineLevel="0" collapsed="false">
      <c r="A562" s="192" t="s">
        <v>2033</v>
      </c>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c r="AM562" s="192"/>
      <c r="AN562" s="192"/>
      <c r="AO562" s="192"/>
    </row>
    <row r="563" customFormat="false" ht="84" hidden="false" customHeight="true" outlineLevel="0" collapsed="false">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c r="AG563" s="90"/>
      <c r="AH563" s="90"/>
      <c r="AI563" s="90"/>
      <c r="AJ563" s="90"/>
      <c r="AK563" s="90"/>
      <c r="AL563" s="90"/>
      <c r="AM563" s="90"/>
      <c r="AN563" s="90"/>
      <c r="AO563" s="90"/>
    </row>
    <row r="564" customFormat="false" ht="84" hidden="false" customHeight="true" outlineLevel="0" collapsed="false">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c r="AG564" s="90"/>
      <c r="AH564" s="90"/>
      <c r="AI564" s="90"/>
      <c r="AJ564" s="90"/>
      <c r="AK564" s="90"/>
      <c r="AL564" s="90"/>
      <c r="AM564" s="90"/>
      <c r="AN564" s="90"/>
      <c r="AO564" s="90"/>
    </row>
    <row r="565" customFormat="false" ht="84" hidden="false" customHeight="true" outlineLevel="0" collapsed="false">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c r="AG565" s="90"/>
      <c r="AH565" s="90"/>
      <c r="AI565" s="90"/>
      <c r="AJ565" s="90"/>
      <c r="AK565" s="90"/>
      <c r="AL565" s="90"/>
      <c r="AM565" s="90"/>
      <c r="AN565" s="90"/>
      <c r="AO565" s="90"/>
    </row>
    <row r="566" customFormat="false" ht="84" hidden="false" customHeight="true" outlineLevel="0" collapsed="false">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c r="AG566" s="90"/>
      <c r="AH566" s="90"/>
      <c r="AI566" s="90"/>
      <c r="AJ566" s="90"/>
      <c r="AK566" s="90"/>
      <c r="AL566" s="90"/>
      <c r="AM566" s="90"/>
      <c r="AN566" s="90"/>
      <c r="AO566" s="90"/>
    </row>
    <row r="568" customFormat="false" ht="114.75" hidden="false" customHeight="true" outlineLevel="0" collapsed="false">
      <c r="A568" s="192" t="s">
        <v>2034</v>
      </c>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c r="AM568" s="192"/>
      <c r="AN568" s="192"/>
      <c r="AO568" s="192"/>
    </row>
    <row r="569" customFormat="false" ht="60" hidden="false" customHeight="true" outlineLevel="0" collapsed="false">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c r="AG569" s="90"/>
      <c r="AH569" s="90"/>
      <c r="AI569" s="90"/>
      <c r="AJ569" s="90"/>
      <c r="AK569" s="90"/>
      <c r="AL569" s="90"/>
      <c r="AM569" s="90"/>
      <c r="AN569" s="90"/>
      <c r="AO569" s="90"/>
    </row>
    <row r="570" customFormat="false" ht="60" hidden="false" customHeight="true" outlineLevel="0" collapsed="false">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c r="AG570" s="90"/>
      <c r="AH570" s="90"/>
      <c r="AI570" s="90"/>
      <c r="AJ570" s="90"/>
      <c r="AK570" s="90"/>
      <c r="AL570" s="90"/>
      <c r="AM570" s="90"/>
      <c r="AN570" s="90"/>
      <c r="AO570" s="90"/>
    </row>
    <row r="571" customFormat="false" ht="60" hidden="false" customHeight="true" outlineLevel="0" collapsed="false">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c r="AG571" s="90"/>
      <c r="AH571" s="90"/>
      <c r="AI571" s="90"/>
      <c r="AJ571" s="90"/>
      <c r="AK571" s="90"/>
      <c r="AL571" s="90"/>
      <c r="AM571" s="90"/>
      <c r="AN571" s="90"/>
      <c r="AO571" s="90"/>
    </row>
    <row r="572" customFormat="false" ht="60" hidden="false" customHeight="true" outlineLevel="0" collapsed="false">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c r="AG572" s="90"/>
      <c r="AH572" s="90"/>
      <c r="AI572" s="90"/>
      <c r="AJ572" s="90"/>
      <c r="AK572" s="90"/>
      <c r="AL572" s="90"/>
      <c r="AM572" s="90"/>
      <c r="AN572" s="90"/>
      <c r="AO572" s="90"/>
    </row>
    <row r="573" customFormat="false" ht="60" hidden="false" customHeight="true" outlineLevel="0" collapsed="false">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c r="AG573" s="90"/>
      <c r="AH573" s="90"/>
      <c r="AI573" s="90"/>
      <c r="AJ573" s="90"/>
      <c r="AK573" s="90"/>
      <c r="AL573" s="90"/>
      <c r="AM573" s="90"/>
      <c r="AN573" s="90"/>
      <c r="AO573" s="90"/>
    </row>
    <row r="575" customFormat="false" ht="54" hidden="false" customHeight="true" outlineLevel="0" collapsed="false">
      <c r="A575" s="192" t="s">
        <v>2035</v>
      </c>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row>
    <row r="576" customFormat="false" ht="71.25" hidden="false" customHeight="true" outlineLevel="0" collapsed="false">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c r="AG576" s="90"/>
      <c r="AH576" s="90"/>
      <c r="AI576" s="90"/>
      <c r="AJ576" s="90"/>
      <c r="AK576" s="90"/>
      <c r="AL576" s="90"/>
      <c r="AM576" s="90"/>
      <c r="AN576" s="90"/>
      <c r="AO576" s="90"/>
    </row>
    <row r="577" customFormat="false" ht="71.25" hidden="false" customHeight="true" outlineLevel="0" collapsed="false">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c r="AG577" s="90"/>
      <c r="AH577" s="90"/>
      <c r="AI577" s="90"/>
      <c r="AJ577" s="90"/>
      <c r="AK577" s="90"/>
      <c r="AL577" s="90"/>
      <c r="AM577" s="90"/>
      <c r="AN577" s="90"/>
      <c r="AO577" s="90"/>
    </row>
    <row r="578" customFormat="false" ht="71.25" hidden="false" customHeight="true" outlineLevel="0" collapsed="false">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c r="AG578" s="90"/>
      <c r="AH578" s="90"/>
      <c r="AI578" s="90"/>
      <c r="AJ578" s="90"/>
      <c r="AK578" s="90"/>
      <c r="AL578" s="90"/>
      <c r="AM578" s="90"/>
      <c r="AN578" s="90"/>
      <c r="AO578" s="90"/>
    </row>
    <row r="579" customFormat="false" ht="71.25" hidden="false" customHeight="true" outlineLevel="0" collapsed="false">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c r="AG579" s="90"/>
      <c r="AH579" s="90"/>
      <c r="AI579" s="90"/>
      <c r="AJ579" s="90"/>
      <c r="AK579" s="90"/>
      <c r="AL579" s="90"/>
      <c r="AM579" s="90"/>
      <c r="AN579" s="90"/>
      <c r="AO579" s="90"/>
    </row>
    <row r="580" customFormat="false" ht="71.25" hidden="false" customHeight="true" outlineLevel="0" collapsed="false">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c r="AG580" s="90"/>
      <c r="AH580" s="90"/>
      <c r="AI580" s="90"/>
      <c r="AJ580" s="90"/>
      <c r="AK580" s="90"/>
      <c r="AL580" s="90"/>
      <c r="AM580" s="90"/>
      <c r="AN580" s="90"/>
      <c r="AO580" s="90"/>
    </row>
    <row r="582" customFormat="false" ht="121.5" hidden="false" customHeight="true" outlineLevel="0" collapsed="false">
      <c r="A582" s="192" t="s">
        <v>2036</v>
      </c>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row>
    <row r="583" customFormat="false" ht="60.95" hidden="false" customHeight="true" outlineLevel="0" collapsed="false">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c r="AG583" s="90"/>
      <c r="AH583" s="90"/>
      <c r="AI583" s="90"/>
      <c r="AJ583" s="90"/>
      <c r="AK583" s="90"/>
      <c r="AL583" s="90"/>
      <c r="AM583" s="90"/>
      <c r="AN583" s="90"/>
      <c r="AO583" s="90"/>
    </row>
    <row r="584" customFormat="false" ht="60.95" hidden="false" customHeight="true" outlineLevel="0" collapsed="false">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c r="AG584" s="90"/>
      <c r="AH584" s="90"/>
      <c r="AI584" s="90"/>
      <c r="AJ584" s="90"/>
      <c r="AK584" s="90"/>
      <c r="AL584" s="90"/>
      <c r="AM584" s="90"/>
      <c r="AN584" s="90"/>
      <c r="AO584" s="90"/>
    </row>
    <row r="585" customFormat="false" ht="60.95" hidden="false" customHeight="true" outlineLevel="0" collapsed="false">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c r="AG585" s="90"/>
      <c r="AH585" s="90"/>
      <c r="AI585" s="90"/>
      <c r="AJ585" s="90"/>
      <c r="AK585" s="90"/>
      <c r="AL585" s="90"/>
      <c r="AM585" s="90"/>
      <c r="AN585" s="90"/>
      <c r="AO585" s="90"/>
    </row>
    <row r="586" customFormat="false" ht="60.95" hidden="false" customHeight="true" outlineLevel="0" collapsed="false">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c r="AG586" s="90"/>
      <c r="AH586" s="90"/>
      <c r="AI586" s="90"/>
      <c r="AJ586" s="90"/>
      <c r="AK586" s="90"/>
      <c r="AL586" s="90"/>
      <c r="AM586" s="90"/>
      <c r="AN586" s="90"/>
      <c r="AO586" s="90"/>
    </row>
    <row r="587" customFormat="false" ht="60.95" hidden="false" customHeight="true" outlineLevel="0" collapsed="false">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c r="AG587" s="90"/>
      <c r="AH587" s="90"/>
      <c r="AI587" s="90"/>
      <c r="AJ587" s="90"/>
      <c r="AK587" s="90"/>
      <c r="AL587" s="90"/>
      <c r="AM587" s="90"/>
      <c r="AN587" s="90"/>
      <c r="AO587" s="90"/>
    </row>
    <row r="588" customFormat="false" ht="33" hidden="false" customHeight="true" outlineLevel="0" collapsed="false">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c r="AA588" s="310"/>
      <c r="AB588" s="310"/>
      <c r="AC588" s="310"/>
      <c r="AD588" s="310"/>
      <c r="AE588" s="310"/>
      <c r="AF588" s="310"/>
      <c r="AG588" s="310"/>
      <c r="AH588" s="310"/>
      <c r="AI588" s="310"/>
      <c r="AJ588" s="310"/>
      <c r="AK588" s="310"/>
      <c r="AL588" s="310"/>
      <c r="AM588" s="310"/>
      <c r="AN588" s="310"/>
      <c r="AO588" s="310"/>
    </row>
    <row r="589" customFormat="false" ht="24" hidden="false" customHeight="true" outlineLevel="0" collapsed="false">
      <c r="A589" s="192" t="s">
        <v>2037</v>
      </c>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row>
    <row r="590" customFormat="false" ht="40.5" hidden="false" customHeight="true" outlineLevel="0" collapsed="false">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c r="AG590" s="90"/>
      <c r="AH590" s="90"/>
      <c r="AI590" s="90"/>
      <c r="AJ590" s="90"/>
      <c r="AK590" s="90"/>
      <c r="AL590" s="90"/>
      <c r="AM590" s="90"/>
      <c r="AN590" s="90"/>
      <c r="AO590" s="90"/>
    </row>
    <row r="591" customFormat="false" ht="40.5" hidden="false" customHeight="true" outlineLevel="0" collapsed="false">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c r="AG591" s="90"/>
      <c r="AH591" s="90"/>
      <c r="AI591" s="90"/>
      <c r="AJ591" s="90"/>
      <c r="AK591" s="90"/>
      <c r="AL591" s="90"/>
      <c r="AM591" s="90"/>
      <c r="AN591" s="90"/>
      <c r="AO591" s="90"/>
    </row>
    <row r="592" customFormat="false" ht="40.5" hidden="false" customHeight="true" outlineLevel="0" collapsed="false">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c r="AG592" s="90"/>
      <c r="AH592" s="90"/>
      <c r="AI592" s="90"/>
      <c r="AJ592" s="90"/>
      <c r="AK592" s="90"/>
      <c r="AL592" s="90"/>
      <c r="AM592" s="90"/>
      <c r="AN592" s="90"/>
      <c r="AO592" s="90"/>
    </row>
    <row r="593" customFormat="false" ht="40.5" hidden="false" customHeight="true" outlineLevel="0" collapsed="false">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c r="AG593" s="90"/>
      <c r="AH593" s="90"/>
      <c r="AI593" s="90"/>
      <c r="AJ593" s="90"/>
      <c r="AK593" s="90"/>
      <c r="AL593" s="90"/>
      <c r="AM593" s="90"/>
      <c r="AN593" s="90"/>
      <c r="AO593" s="90"/>
    </row>
    <row r="594" customFormat="false" ht="40.5" hidden="false" customHeight="true" outlineLevel="0" collapsed="false">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c r="AG594" s="90"/>
      <c r="AH594" s="90"/>
      <c r="AI594" s="90"/>
      <c r="AJ594" s="90"/>
      <c r="AK594" s="90"/>
      <c r="AL594" s="90"/>
      <c r="AM594" s="90"/>
      <c r="AN594" s="90"/>
      <c r="AO594" s="90"/>
    </row>
    <row r="596" customFormat="false" ht="24" hidden="false" customHeight="true" outlineLevel="0" collapsed="false">
      <c r="A596" s="192" t="s">
        <v>2038</v>
      </c>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row>
    <row r="597" customFormat="false" ht="46.5" hidden="false" customHeight="true" outlineLevel="0" collapsed="false">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c r="AF597" s="97"/>
      <c r="AG597" s="97"/>
      <c r="AH597" s="97"/>
      <c r="AI597" s="97"/>
      <c r="AJ597" s="97"/>
      <c r="AK597" s="97"/>
      <c r="AL597" s="97"/>
      <c r="AM597" s="97"/>
      <c r="AN597" s="97"/>
      <c r="AO597" s="97"/>
    </row>
    <row r="598" customFormat="false" ht="46.5" hidden="false" customHeight="true" outlineLevel="0" collapsed="false">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c r="AG598" s="97"/>
      <c r="AH598" s="97"/>
      <c r="AI598" s="97"/>
      <c r="AJ598" s="97"/>
      <c r="AK598" s="97"/>
      <c r="AL598" s="97"/>
      <c r="AM598" s="97"/>
      <c r="AN598" s="97"/>
      <c r="AO598" s="97"/>
    </row>
    <row r="599" customFormat="false" ht="46.5" hidden="false" customHeight="true" outlineLevel="0" collapsed="false">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c r="AG599" s="97"/>
      <c r="AH599" s="97"/>
      <c r="AI599" s="97"/>
      <c r="AJ599" s="97"/>
      <c r="AK599" s="97"/>
      <c r="AL599" s="97"/>
      <c r="AM599" s="97"/>
      <c r="AN599" s="97"/>
      <c r="AO599" s="97"/>
    </row>
    <row r="600" customFormat="false" ht="46.5" hidden="false" customHeight="true" outlineLevel="0" collapsed="false">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c r="AF600" s="97"/>
      <c r="AG600" s="97"/>
      <c r="AH600" s="97"/>
      <c r="AI600" s="97"/>
      <c r="AJ600" s="97"/>
      <c r="AK600" s="97"/>
      <c r="AL600" s="97"/>
      <c r="AM600" s="97"/>
      <c r="AN600" s="97"/>
      <c r="AO600" s="97"/>
    </row>
    <row r="601" customFormat="false" ht="46.5" hidden="false" customHeight="true" outlineLevel="0" collapsed="false">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c r="AG601" s="97"/>
      <c r="AH601" s="97"/>
      <c r="AI601" s="97"/>
      <c r="AJ601" s="97"/>
      <c r="AK601" s="97"/>
      <c r="AL601" s="97"/>
      <c r="AM601" s="97"/>
      <c r="AN601" s="97"/>
      <c r="AO601" s="97"/>
    </row>
    <row r="602" customFormat="false" ht="46.5" hidden="false" customHeight="true" outlineLevel="0" collapsed="false">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c r="AG602" s="97"/>
      <c r="AH602" s="97"/>
      <c r="AI602" s="97"/>
      <c r="AJ602" s="97"/>
      <c r="AK602" s="97"/>
      <c r="AL602" s="97"/>
      <c r="AM602" s="97"/>
      <c r="AN602" s="97"/>
      <c r="AO602" s="97"/>
    </row>
    <row r="603" customFormat="false" ht="46.5" hidden="false" customHeight="true" outlineLevel="0" collapsed="false">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c r="AF603" s="97"/>
      <c r="AG603" s="97"/>
      <c r="AH603" s="97"/>
      <c r="AI603" s="97"/>
      <c r="AJ603" s="97"/>
      <c r="AK603" s="97"/>
      <c r="AL603" s="97"/>
      <c r="AM603" s="97"/>
      <c r="AN603" s="97"/>
      <c r="AO603" s="97"/>
    </row>
    <row r="604" customFormat="false" ht="46.5" hidden="false" customHeight="true" outlineLevel="0" collapsed="false">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c r="AF604" s="97"/>
      <c r="AG604" s="97"/>
      <c r="AH604" s="97"/>
      <c r="AI604" s="97"/>
      <c r="AJ604" s="97"/>
      <c r="AK604" s="97"/>
      <c r="AL604" s="97"/>
      <c r="AM604" s="97"/>
      <c r="AN604" s="97"/>
      <c r="AO604" s="97"/>
    </row>
    <row r="605" customFormat="false" ht="46.5" hidden="false" customHeight="true" outlineLevel="0" collapsed="false">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c r="AF605" s="97"/>
      <c r="AG605" s="97"/>
      <c r="AH605" s="97"/>
      <c r="AI605" s="97"/>
      <c r="AJ605" s="97"/>
      <c r="AK605" s="97"/>
      <c r="AL605" s="97"/>
      <c r="AM605" s="97"/>
      <c r="AN605" s="97"/>
      <c r="AO605" s="97"/>
    </row>
    <row r="606" customFormat="false" ht="46.5" hidden="false" customHeight="true" outlineLevel="0" collapsed="false">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c r="AF606" s="97"/>
      <c r="AG606" s="97"/>
      <c r="AH606" s="97"/>
      <c r="AI606" s="97"/>
      <c r="AJ606" s="97"/>
      <c r="AK606" s="97"/>
      <c r="AL606" s="97"/>
      <c r="AM606" s="97"/>
      <c r="AN606" s="97"/>
      <c r="AO606" s="97"/>
    </row>
    <row r="762" customFormat="false" ht="150" hidden="true" customHeight="false" outlineLevel="0" collapsed="false">
      <c r="A762" s="311" t="s">
        <v>2039</v>
      </c>
    </row>
    <row r="763" customFormat="false" ht="356.25" hidden="true" customHeight="false" outlineLevel="0" collapsed="false">
      <c r="A763" s="312" t="s">
        <v>1933</v>
      </c>
    </row>
    <row r="764" customFormat="false" ht="187.5" hidden="true" customHeight="false" outlineLevel="0" collapsed="false">
      <c r="A764" s="312" t="s">
        <v>1934</v>
      </c>
    </row>
    <row r="765" customFormat="false" ht="318.75" hidden="true" customHeight="false" outlineLevel="0" collapsed="false">
      <c r="A765" s="312" t="s">
        <v>1930</v>
      </c>
    </row>
    <row r="766" customFormat="false" ht="409.5" hidden="true" customHeight="false" outlineLevel="0" collapsed="false">
      <c r="A766" s="312" t="s">
        <v>2040</v>
      </c>
    </row>
    <row r="767" customFormat="false" ht="409.5" hidden="true" customHeight="false" outlineLevel="0" collapsed="false">
      <c r="A767" s="312" t="s">
        <v>1932</v>
      </c>
    </row>
    <row r="768" customFormat="false" ht="262.5" hidden="true" customHeight="false" outlineLevel="0" collapsed="false">
      <c r="A768" s="312" t="s">
        <v>1944</v>
      </c>
    </row>
    <row r="769" customFormat="false" ht="206.25" hidden="true" customHeight="false" outlineLevel="0" collapsed="false">
      <c r="A769" s="312" t="s">
        <v>1942</v>
      </c>
    </row>
    <row r="770" customFormat="false" ht="225" hidden="true" customHeight="false" outlineLevel="0" collapsed="false">
      <c r="A770" s="312" t="s">
        <v>2041</v>
      </c>
    </row>
    <row r="771" customFormat="false" ht="409.5" hidden="true" customHeight="false" outlineLevel="0" collapsed="false">
      <c r="A771" s="312" t="s">
        <v>1935</v>
      </c>
    </row>
    <row r="780" customFormat="false" ht="20.25" hidden="false" customHeight="false" outlineLevel="0" collapsed="false">
      <c r="C780" s="26" t="s">
        <v>2042</v>
      </c>
      <c r="D780" s="26"/>
    </row>
    <row r="781" customFormat="false" ht="20.25" hidden="false" customHeight="false" outlineLevel="0" collapsed="false">
      <c r="C781" s="26" t="s">
        <v>2043</v>
      </c>
      <c r="D781" s="26"/>
    </row>
    <row r="782" customFormat="false" ht="20.25" hidden="false" customHeight="false" outlineLevel="0" collapsed="false">
      <c r="C782" s="26" t="s">
        <v>2044</v>
      </c>
      <c r="D782" s="26"/>
    </row>
    <row r="783" customFormat="false" ht="20.25" hidden="false" customHeight="false" outlineLevel="0" collapsed="false">
      <c r="C783" s="26" t="s">
        <v>2045</v>
      </c>
      <c r="D783" s="26"/>
    </row>
    <row r="784" customFormat="false" ht="20.25" hidden="false" customHeight="false" outlineLevel="0" collapsed="false">
      <c r="C784" s="26" t="s">
        <v>2046</v>
      </c>
      <c r="D784" s="26"/>
    </row>
    <row r="785" customFormat="false" ht="20.25" hidden="false" customHeight="false" outlineLevel="0" collapsed="false">
      <c r="C785" s="26" t="s">
        <v>2047</v>
      </c>
      <c r="D785" s="26"/>
    </row>
    <row r="786" customFormat="false" ht="20.25" hidden="false" customHeight="false" outlineLevel="0" collapsed="false">
      <c r="C786" s="26" t="s">
        <v>2048</v>
      </c>
      <c r="D786" s="26"/>
    </row>
    <row r="787" customFormat="false" ht="20.25" hidden="false" customHeight="false" outlineLevel="0" collapsed="false">
      <c r="C787" s="26" t="s">
        <v>2049</v>
      </c>
      <c r="D787" s="26"/>
    </row>
    <row r="788" customFormat="false" ht="20.25" hidden="false" customHeight="false" outlineLevel="0" collapsed="false">
      <c r="C788" s="26" t="s">
        <v>2050</v>
      </c>
      <c r="D788" s="26"/>
    </row>
    <row r="789" customFormat="false" ht="20.25" hidden="false" customHeight="false" outlineLevel="0" collapsed="false">
      <c r="C789" s="26" t="s">
        <v>2051</v>
      </c>
      <c r="D789" s="26"/>
    </row>
    <row r="790" customFormat="false" ht="20.25" hidden="false" customHeight="false" outlineLevel="0" collapsed="false">
      <c r="C790" s="26" t="s">
        <v>2052</v>
      </c>
      <c r="D790" s="26"/>
    </row>
    <row r="791" customFormat="false" ht="20.25" hidden="false" customHeight="false" outlineLevel="0" collapsed="false">
      <c r="C791" s="26" t="s">
        <v>2053</v>
      </c>
      <c r="D791" s="26"/>
    </row>
    <row r="792" customFormat="false" ht="20.25" hidden="false" customHeight="false" outlineLevel="0" collapsed="false">
      <c r="C792" s="26" t="s">
        <v>2054</v>
      </c>
      <c r="D792" s="26"/>
    </row>
    <row r="793" customFormat="false" ht="20.25" hidden="false" customHeight="false" outlineLevel="0" collapsed="false">
      <c r="C793" s="26" t="s">
        <v>2055</v>
      </c>
      <c r="D793" s="26"/>
    </row>
    <row r="794" customFormat="false" ht="20.25" hidden="false" customHeight="false" outlineLevel="0" collapsed="false">
      <c r="C794" s="26" t="s">
        <v>2056</v>
      </c>
      <c r="D794" s="26"/>
    </row>
    <row r="795" customFormat="false" ht="20.25" hidden="false" customHeight="false" outlineLevel="0" collapsed="false">
      <c r="C795" s="26" t="s">
        <v>2057</v>
      </c>
      <c r="D795" s="26"/>
    </row>
    <row r="796" customFormat="false" ht="20.25" hidden="false" customHeight="false" outlineLevel="0" collapsed="false">
      <c r="C796" s="26" t="s">
        <v>2058</v>
      </c>
      <c r="D796" s="26"/>
    </row>
    <row r="797" customFormat="false" ht="20.25" hidden="false" customHeight="false" outlineLevel="0" collapsed="false">
      <c r="C797" s="26" t="s">
        <v>2059</v>
      </c>
      <c r="D797" s="26"/>
    </row>
    <row r="798" customFormat="false" ht="20.25" hidden="false" customHeight="false" outlineLevel="0" collapsed="false">
      <c r="C798" s="26" t="s">
        <v>2060</v>
      </c>
      <c r="D798" s="26"/>
    </row>
    <row r="799" customFormat="false" ht="20.25" hidden="false" customHeight="false" outlineLevel="0" collapsed="false">
      <c r="C799" s="26" t="s">
        <v>2061</v>
      </c>
      <c r="D799" s="26"/>
    </row>
    <row r="800" customFormat="false" ht="20.25" hidden="false" customHeight="false" outlineLevel="0" collapsed="false">
      <c r="C800" s="26" t="s">
        <v>2062</v>
      </c>
      <c r="D800" s="26"/>
    </row>
    <row r="801" customFormat="false" ht="20.25" hidden="false" customHeight="false" outlineLevel="0" collapsed="false">
      <c r="C801" s="26" t="s">
        <v>2063</v>
      </c>
      <c r="D801" s="26"/>
    </row>
    <row r="802" customFormat="false" ht="20.25" hidden="false" customHeight="false" outlineLevel="0" collapsed="false">
      <c r="C802" s="26" t="s">
        <v>2064</v>
      </c>
      <c r="D802" s="26"/>
    </row>
    <row r="803" customFormat="false" ht="20.25" hidden="false" customHeight="false" outlineLevel="0" collapsed="false">
      <c r="C803" s="26" t="s">
        <v>2065</v>
      </c>
      <c r="D803" s="26"/>
    </row>
    <row r="804" customFormat="false" ht="20.25" hidden="false" customHeight="false" outlineLevel="0" collapsed="false">
      <c r="C804" s="26" t="s">
        <v>2066</v>
      </c>
      <c r="D804" s="26"/>
    </row>
    <row r="805" customFormat="false" ht="20.25" hidden="false" customHeight="false" outlineLevel="0" collapsed="false">
      <c r="C805" s="26" t="s">
        <v>2067</v>
      </c>
      <c r="D805" s="26"/>
    </row>
    <row r="806" customFormat="false" ht="20.25" hidden="false" customHeight="false" outlineLevel="0" collapsed="false">
      <c r="C806" s="26" t="s">
        <v>2068</v>
      </c>
      <c r="D806" s="26"/>
    </row>
    <row r="807" customFormat="false" ht="20.25" hidden="false" customHeight="false" outlineLevel="0" collapsed="false">
      <c r="C807" s="26" t="s">
        <v>2069</v>
      </c>
      <c r="D807" s="26"/>
    </row>
    <row r="808" customFormat="false" ht="20.25" hidden="false" customHeight="false" outlineLevel="0" collapsed="false">
      <c r="C808" s="26" t="s">
        <v>2070</v>
      </c>
      <c r="D808" s="26"/>
    </row>
    <row r="809" customFormat="false" ht="20.25" hidden="false" customHeight="false" outlineLevel="0" collapsed="false">
      <c r="C809" s="26" t="s">
        <v>2071</v>
      </c>
      <c r="D809" s="26"/>
    </row>
    <row r="810" customFormat="false" ht="20.25" hidden="false" customHeight="false" outlineLevel="0" collapsed="false">
      <c r="C810" s="26" t="s">
        <v>2072</v>
      </c>
      <c r="D810" s="26"/>
    </row>
    <row r="811" customFormat="false" ht="20.25" hidden="false" customHeight="false" outlineLevel="0" collapsed="false">
      <c r="C811" s="26" t="s">
        <v>2073</v>
      </c>
      <c r="D811" s="26"/>
    </row>
    <row r="812" customFormat="false" ht="20.25" hidden="false" customHeight="false" outlineLevel="0" collapsed="false">
      <c r="C812" s="26" t="s">
        <v>2074</v>
      </c>
      <c r="D812" s="26"/>
    </row>
    <row r="813" customFormat="false" ht="20.25" hidden="false" customHeight="false" outlineLevel="0" collapsed="false">
      <c r="C813" s="26" t="s">
        <v>2075</v>
      </c>
      <c r="D813" s="26"/>
    </row>
    <row r="814" customFormat="false" ht="20.25" hidden="false" customHeight="false" outlineLevel="0" collapsed="false">
      <c r="C814" s="26" t="s">
        <v>2076</v>
      </c>
      <c r="D814" s="26"/>
    </row>
    <row r="815" customFormat="false" ht="20.25" hidden="false" customHeight="false" outlineLevel="0" collapsed="false">
      <c r="C815" s="26" t="s">
        <v>2077</v>
      </c>
      <c r="D815" s="26"/>
    </row>
    <row r="816" customFormat="false" ht="20.25" hidden="false" customHeight="false" outlineLevel="0" collapsed="false">
      <c r="C816" s="26" t="s">
        <v>2078</v>
      </c>
      <c r="D816" s="26"/>
    </row>
    <row r="817" customFormat="false" ht="20.25" hidden="false" customHeight="false" outlineLevel="0" collapsed="false">
      <c r="C817" s="26" t="s">
        <v>2079</v>
      </c>
      <c r="D817" s="26"/>
    </row>
    <row r="818" customFormat="false" ht="20.25" hidden="false" customHeight="false" outlineLevel="0" collapsed="false">
      <c r="C818" s="26" t="s">
        <v>2080</v>
      </c>
      <c r="D818" s="26"/>
    </row>
    <row r="819" customFormat="false" ht="20.25" hidden="false" customHeight="false" outlineLevel="0" collapsed="false">
      <c r="C819" s="26" t="s">
        <v>2081</v>
      </c>
      <c r="D819" s="26"/>
    </row>
    <row r="820" customFormat="false" ht="20.25" hidden="false" customHeight="false" outlineLevel="0" collapsed="false">
      <c r="C820" s="26" t="s">
        <v>1819</v>
      </c>
      <c r="D820" s="26"/>
    </row>
  </sheetData>
  <sheetProtection sheet="true" password="9312"/>
  <protectedRanges>
    <protectedRange name="Rango91" sqref="T8"/>
    <protectedRange name="Rango89" sqref="A106:AR108"/>
    <protectedRange name="Rango87" sqref="A576:AO580"/>
    <protectedRange name="Rango85" sqref="A590:AO594"/>
    <protectedRange name="Rango80" sqref="F247:AI247"/>
    <protectedRange name="Rango82" sqref="A187:AE187 A170:AE170 A153:AE153"/>
    <protectedRange name="Rango46_1" sqref="T448:Z448"/>
    <protectedRange name="Rango47_1" sqref="AA448:AC448"/>
    <protectedRange name="Rango28_15" sqref="BC304:BF315"/>
    <protectedRange name="Rango28_14" sqref="AQ304:AT315"/>
    <protectedRange name="Rango28_13" sqref="AE304:AH315"/>
    <protectedRange name="Rango28_12" sqref="S304:V315"/>
    <protectedRange name="Rango28_11" sqref="G304:J315"/>
    <protectedRange name="Rango28_10" sqref="BC286:BF297"/>
    <protectedRange name="Rango28_9" sqref="AQ286:AT297"/>
    <protectedRange name="Rango28_8" sqref="AE286:AH297"/>
    <protectedRange name="Rango28_7" sqref="S286:V297"/>
    <protectedRange name="Rango28_6" sqref="G286:J297"/>
    <protectedRange name="Rango28_5" sqref="BC268:BF279"/>
    <protectedRange name="Rango28_4" sqref="AQ268:AT279"/>
    <protectedRange name="Rango28_3" sqref="AE268:AH279"/>
    <protectedRange name="Rango28_2" sqref="S268:V279"/>
    <protectedRange name="Rango28_1" sqref="G268:J279"/>
    <protectedRange name="Rango77" sqref="A590:AO594 A583:AO588"/>
    <protectedRange name="Rango75" sqref="A569:AO573"/>
    <protectedRange name="Rango71" sqref="Z25"/>
    <protectedRange name="Rango70" sqref="L25"/>
    <protectedRange name="Rango69" sqref="B25"/>
    <protectedRange name="Rango3_1" sqref="L25:X26 Z25:AO26"/>
    <protectedRange name="Rango66" sqref="I400:K407"/>
    <protectedRange name="Rango63" sqref="T461:AC474"/>
    <protectedRange name="Rango60" sqref="R28 R30"/>
    <protectedRange name="Rango58" sqref="A590 A569 A576 A583"/>
    <protectedRange name="Rango56" sqref="A551:AN555"/>
    <protectedRange name="Rango54" sqref="K527:AO530"/>
    <protectedRange name="Rango52" sqref="G496:AN500"/>
    <protectedRange name="Rango49" sqref="AC426:AH426 A414:AJ423"/>
    <protectedRange name="Rango45" sqref="A509:AR518"/>
    <protectedRange name="Rango41" sqref="A342:AD346 A351:AD355 A360:AD364"/>
    <protectedRange name="Rango20" sqref="A207:AN215"/>
    <protectedRange name="Rango19" sqref="Y201"/>
    <protectedRange name="Rango18" sqref="S195:U201"/>
    <protectedRange name="Rango4" sqref="M28 R30"/>
    <protectedRange name="Rango2" sqref="B19:AO20"/>
    <protectedRange name="Rango1" sqref="B15:AO16"/>
    <protectedRange name="Rango6" sqref="A68:AJ72"/>
    <protectedRange name="Rango7" sqref="A74:AJ78"/>
    <protectedRange name="Rango8" sqref="A84"/>
    <protectedRange name="Rango9" sqref="A101:AR103"/>
    <protectedRange name="Rango10" sqref="I114"/>
    <protectedRange name="Rango11" sqref="A115"/>
    <protectedRange name="Rango12" sqref="G117:AJ120"/>
    <protectedRange name="Rango13" sqref="G117:AJ120"/>
    <protectedRange name="Rango14" sqref="A128:AK130"/>
    <protectedRange name="Rango15" sqref="A158:AN167 A175:AN184 A141:AN150"/>
    <protectedRange name="Rango21" sqref="A223:AN225"/>
    <protectedRange name="Rango22" sqref="K233:AN233 K230:N232 AG230:AN232 O240:AF240"/>
    <protectedRange name="Rango23" sqref="K237:N240 O230:AF232 AG237:AN240 O237:AF239"/>
    <protectedRange name="Rango26" sqref="F251:Q251"/>
    <protectedRange name="Rango27" sqref="Q256:V258"/>
    <protectedRange name="Rango40" sqref="A324:AD331"/>
    <protectedRange name="Rango44" sqref="M373:AP373"/>
    <protectedRange name="Rango46" sqref="A434:AC453"/>
    <protectedRange name="Rango47" sqref="AA434:AC447 AA449:AC453"/>
    <protectedRange name="Rango48" sqref="AM434:AR454"/>
    <protectedRange name="Rango50" sqref="A461:AC474"/>
    <protectedRange name="Rango51" sqref="AM460:AR475"/>
    <protectedRange name="Rango53" sqref="G496:AN500"/>
    <protectedRange name="Rango57" sqref="A563:AO566"/>
    <protectedRange name="Rango59" sqref="A597:AO606"/>
    <protectedRange name="Rango62" sqref="A383:X391"/>
    <protectedRange name="Rango64" sqref="A461:S474 A434:S453"/>
    <protectedRange name="Rango55" sqref="AP414:AR423"/>
    <protectedRange name="Rango72" sqref="B25"/>
    <protectedRange name="Rango74" sqref="A106"/>
    <protectedRange name="Rango76" sqref="A576:AO580"/>
    <protectedRange name="Rango78" sqref="A597:AO606"/>
    <protectedRange name="Rango79" sqref="A187:AE187 A170:AE170 A153:AE153"/>
    <protectedRange name="Rango81" sqref="A187:AE187 A170:AE170 A153:AE153"/>
    <protectedRange name="Rango83" sqref="A503:AN503"/>
    <protectedRange name="Rango84" sqref="A597:AO606"/>
    <protectedRange name="Rango86" sqref="A583:AO587"/>
    <protectedRange name="Rango88" sqref="A84:AJ94"/>
    <protectedRange name="Rango90" sqref="T8:AO10"/>
  </protectedRanges>
  <mergeCells count="1864">
    <mergeCell ref="B6:AO6"/>
    <mergeCell ref="B8:S8"/>
    <mergeCell ref="T8:AO8"/>
    <mergeCell ref="B9:S9"/>
    <mergeCell ref="T9:AO9"/>
    <mergeCell ref="B10:S10"/>
    <mergeCell ref="T10:AO10"/>
    <mergeCell ref="B12:AO12"/>
    <mergeCell ref="B14:Q14"/>
    <mergeCell ref="T14:Z14"/>
    <mergeCell ref="AC14:AO14"/>
    <mergeCell ref="B15:Q16"/>
    <mergeCell ref="T15:Z16"/>
    <mergeCell ref="AC15:AO16"/>
    <mergeCell ref="B18:Q18"/>
    <mergeCell ref="T18:Z18"/>
    <mergeCell ref="AC18:AO18"/>
    <mergeCell ref="B19:Q20"/>
    <mergeCell ref="T19:Z20"/>
    <mergeCell ref="AC19:AO20"/>
    <mergeCell ref="B22:AO22"/>
    <mergeCell ref="B24:J24"/>
    <mergeCell ref="L24:X24"/>
    <mergeCell ref="Z24:AO24"/>
    <mergeCell ref="B25:J26"/>
    <mergeCell ref="L25:X26"/>
    <mergeCell ref="Z25:AO26"/>
    <mergeCell ref="B28:L28"/>
    <mergeCell ref="M28:T28"/>
    <mergeCell ref="U28:AM28"/>
    <mergeCell ref="AN28:AP28"/>
    <mergeCell ref="B30:Q30"/>
    <mergeCell ref="R30:T30"/>
    <mergeCell ref="A32:AH32"/>
    <mergeCell ref="A33:AP35"/>
    <mergeCell ref="A55:AR57"/>
    <mergeCell ref="A59:AO59"/>
    <mergeCell ref="A61:AN62"/>
    <mergeCell ref="A64:R66"/>
    <mergeCell ref="S64:AJ66"/>
    <mergeCell ref="A67:AJ67"/>
    <mergeCell ref="A68:R72"/>
    <mergeCell ref="S68:AJ72"/>
    <mergeCell ref="A73:AJ73"/>
    <mergeCell ref="A74:R78"/>
    <mergeCell ref="S74:AJ78"/>
    <mergeCell ref="A80:AO80"/>
    <mergeCell ref="A81:AN82"/>
    <mergeCell ref="A84:AJ94"/>
    <mergeCell ref="A96:AO96"/>
    <mergeCell ref="A97:AN98"/>
    <mergeCell ref="A100:H100"/>
    <mergeCell ref="I100:Q100"/>
    <mergeCell ref="R100:W100"/>
    <mergeCell ref="X100:AB100"/>
    <mergeCell ref="AC100:AJ100"/>
    <mergeCell ref="AK100:AR100"/>
    <mergeCell ref="A101:H101"/>
    <mergeCell ref="I101:Q101"/>
    <mergeCell ref="R101:W101"/>
    <mergeCell ref="X101:AB101"/>
    <mergeCell ref="AC101:AJ101"/>
    <mergeCell ref="AK101:AR101"/>
    <mergeCell ref="A102:H102"/>
    <mergeCell ref="I102:Q102"/>
    <mergeCell ref="R102:W102"/>
    <mergeCell ref="X102:AB102"/>
    <mergeCell ref="AC102:AJ102"/>
    <mergeCell ref="AK102:AR102"/>
    <mergeCell ref="A103:H103"/>
    <mergeCell ref="I103:Q103"/>
    <mergeCell ref="R103:W103"/>
    <mergeCell ref="X103:AB103"/>
    <mergeCell ref="AC103:AJ103"/>
    <mergeCell ref="AK103:AR103"/>
    <mergeCell ref="A105:AR105"/>
    <mergeCell ref="A106:AR108"/>
    <mergeCell ref="A110:AO110"/>
    <mergeCell ref="A111:AR112"/>
    <mergeCell ref="A114:H114"/>
    <mergeCell ref="I114:AH114"/>
    <mergeCell ref="A115:AH115"/>
    <mergeCell ref="A117:F117"/>
    <mergeCell ref="G117:AJ117"/>
    <mergeCell ref="A118:F118"/>
    <mergeCell ref="G118:AJ118"/>
    <mergeCell ref="A119:F119"/>
    <mergeCell ref="G119:AJ119"/>
    <mergeCell ref="G120:AJ120"/>
    <mergeCell ref="A122:AO122"/>
    <mergeCell ref="A123:AN125"/>
    <mergeCell ref="A127:J127"/>
    <mergeCell ref="K127:X127"/>
    <mergeCell ref="Y127:AE127"/>
    <mergeCell ref="AF127:AK127"/>
    <mergeCell ref="A128:J128"/>
    <mergeCell ref="K128:X128"/>
    <mergeCell ref="Y128:AE128"/>
    <mergeCell ref="AF128:AK128"/>
    <mergeCell ref="AL128:AN128"/>
    <mergeCell ref="A129:J129"/>
    <mergeCell ref="K129:X129"/>
    <mergeCell ref="Y129:AE129"/>
    <mergeCell ref="AF129:AK129"/>
    <mergeCell ref="AL129:AN129"/>
    <mergeCell ref="A130:J130"/>
    <mergeCell ref="K130:X130"/>
    <mergeCell ref="Y130:AE130"/>
    <mergeCell ref="AF130:AK130"/>
    <mergeCell ref="AL130:AN130"/>
    <mergeCell ref="A132:AN132"/>
    <mergeCell ref="A133:AN136"/>
    <mergeCell ref="A139:AN139"/>
    <mergeCell ref="A140:N140"/>
    <mergeCell ref="O140:W140"/>
    <mergeCell ref="X140:AE140"/>
    <mergeCell ref="AF140:AN140"/>
    <mergeCell ref="A141:N141"/>
    <mergeCell ref="O141:W141"/>
    <mergeCell ref="X141:AE141"/>
    <mergeCell ref="AF141:AN141"/>
    <mergeCell ref="A142:N142"/>
    <mergeCell ref="O142:W142"/>
    <mergeCell ref="X142:AE142"/>
    <mergeCell ref="AF142:AN142"/>
    <mergeCell ref="A143:N143"/>
    <mergeCell ref="O143:W143"/>
    <mergeCell ref="X143:AE143"/>
    <mergeCell ref="AF143:AN143"/>
    <mergeCell ref="A144:N144"/>
    <mergeCell ref="O144:W144"/>
    <mergeCell ref="X144:AE144"/>
    <mergeCell ref="AF144:AN144"/>
    <mergeCell ref="A145:N145"/>
    <mergeCell ref="O145:W145"/>
    <mergeCell ref="X145:AE145"/>
    <mergeCell ref="AF145:AN145"/>
    <mergeCell ref="A146:N146"/>
    <mergeCell ref="O146:W146"/>
    <mergeCell ref="X146:AE146"/>
    <mergeCell ref="AF146:AN146"/>
    <mergeCell ref="A147:N147"/>
    <mergeCell ref="O147:W147"/>
    <mergeCell ref="X147:AE147"/>
    <mergeCell ref="AF147:AN147"/>
    <mergeCell ref="A148:N148"/>
    <mergeCell ref="O148:W148"/>
    <mergeCell ref="X148:AE148"/>
    <mergeCell ref="AF148:AN148"/>
    <mergeCell ref="A149:N149"/>
    <mergeCell ref="O149:W149"/>
    <mergeCell ref="X149:AE149"/>
    <mergeCell ref="AF149:AN149"/>
    <mergeCell ref="A150:N150"/>
    <mergeCell ref="O150:W150"/>
    <mergeCell ref="X150:AE150"/>
    <mergeCell ref="AF150:AN150"/>
    <mergeCell ref="A151:AN151"/>
    <mergeCell ref="A152:N152"/>
    <mergeCell ref="O152:W152"/>
    <mergeCell ref="X152:AE152"/>
    <mergeCell ref="AF152:AN152"/>
    <mergeCell ref="A153:N153"/>
    <mergeCell ref="O153:W153"/>
    <mergeCell ref="X153:AE153"/>
    <mergeCell ref="AF153:AN153"/>
    <mergeCell ref="A155:AN155"/>
    <mergeCell ref="A156:AN156"/>
    <mergeCell ref="A157:N157"/>
    <mergeCell ref="O157:W157"/>
    <mergeCell ref="X157:AE157"/>
    <mergeCell ref="AF157:AN157"/>
    <mergeCell ref="A158:N158"/>
    <mergeCell ref="O158:W158"/>
    <mergeCell ref="X158:AE158"/>
    <mergeCell ref="AF158:AN158"/>
    <mergeCell ref="A159:N159"/>
    <mergeCell ref="O159:W159"/>
    <mergeCell ref="X159:AE159"/>
    <mergeCell ref="AF159:AN159"/>
    <mergeCell ref="A160:N160"/>
    <mergeCell ref="O160:W160"/>
    <mergeCell ref="X160:AE160"/>
    <mergeCell ref="AF160:AN160"/>
    <mergeCell ref="A161:N161"/>
    <mergeCell ref="O161:W161"/>
    <mergeCell ref="X161:AE161"/>
    <mergeCell ref="AF161:AN161"/>
    <mergeCell ref="A162:N162"/>
    <mergeCell ref="O162:W162"/>
    <mergeCell ref="X162:AE162"/>
    <mergeCell ref="AF162:AN162"/>
    <mergeCell ref="A163:N163"/>
    <mergeCell ref="O163:W163"/>
    <mergeCell ref="X163:AE163"/>
    <mergeCell ref="AF163:AN163"/>
    <mergeCell ref="A164:N164"/>
    <mergeCell ref="O164:W164"/>
    <mergeCell ref="X164:AE164"/>
    <mergeCell ref="AF164:AN164"/>
    <mergeCell ref="A165:N165"/>
    <mergeCell ref="O165:W165"/>
    <mergeCell ref="X165:AE165"/>
    <mergeCell ref="AF165:AN165"/>
    <mergeCell ref="A166:N166"/>
    <mergeCell ref="O166:W166"/>
    <mergeCell ref="X166:AE166"/>
    <mergeCell ref="AF166:AN166"/>
    <mergeCell ref="A167:N167"/>
    <mergeCell ref="O167:W167"/>
    <mergeCell ref="X167:AE167"/>
    <mergeCell ref="AF167:AN167"/>
    <mergeCell ref="A168:AN168"/>
    <mergeCell ref="A169:N169"/>
    <mergeCell ref="O169:W169"/>
    <mergeCell ref="X169:AE169"/>
    <mergeCell ref="AF169:AN169"/>
    <mergeCell ref="A170:N170"/>
    <mergeCell ref="O170:W170"/>
    <mergeCell ref="X170:AE170"/>
    <mergeCell ref="AF170:AN170"/>
    <mergeCell ref="A172:AN172"/>
    <mergeCell ref="A173:AN173"/>
    <mergeCell ref="A174:N174"/>
    <mergeCell ref="O174:W174"/>
    <mergeCell ref="X174:AE174"/>
    <mergeCell ref="AF174:AN174"/>
    <mergeCell ref="A175:N175"/>
    <mergeCell ref="O175:W175"/>
    <mergeCell ref="X175:AE175"/>
    <mergeCell ref="AF175:AN175"/>
    <mergeCell ref="A176:N176"/>
    <mergeCell ref="O176:W176"/>
    <mergeCell ref="X176:AE176"/>
    <mergeCell ref="AF176:AN176"/>
    <mergeCell ref="A177:N177"/>
    <mergeCell ref="O177:W177"/>
    <mergeCell ref="X177:AE177"/>
    <mergeCell ref="AF177:AN177"/>
    <mergeCell ref="A178:N178"/>
    <mergeCell ref="O178:W178"/>
    <mergeCell ref="X178:AE178"/>
    <mergeCell ref="AF178:AN178"/>
    <mergeCell ref="A179:N179"/>
    <mergeCell ref="O179:W179"/>
    <mergeCell ref="X179:AE179"/>
    <mergeCell ref="AF179:AN179"/>
    <mergeCell ref="A180:N180"/>
    <mergeCell ref="O180:W180"/>
    <mergeCell ref="X180:AE180"/>
    <mergeCell ref="AF180:AN180"/>
    <mergeCell ref="A181:N181"/>
    <mergeCell ref="O181:W181"/>
    <mergeCell ref="X181:AE181"/>
    <mergeCell ref="AF181:AN181"/>
    <mergeCell ref="A182:N182"/>
    <mergeCell ref="O182:W182"/>
    <mergeCell ref="X182:AE182"/>
    <mergeCell ref="AF182:AN182"/>
    <mergeCell ref="A183:N183"/>
    <mergeCell ref="O183:W183"/>
    <mergeCell ref="X183:AE183"/>
    <mergeCell ref="AF183:AN183"/>
    <mergeCell ref="A184:N184"/>
    <mergeCell ref="O184:W184"/>
    <mergeCell ref="X184:AE184"/>
    <mergeCell ref="AF184:AN184"/>
    <mergeCell ref="A185:AN185"/>
    <mergeCell ref="A186:N186"/>
    <mergeCell ref="O186:W186"/>
    <mergeCell ref="X186:AE186"/>
    <mergeCell ref="AF186:AN186"/>
    <mergeCell ref="A187:N187"/>
    <mergeCell ref="O187:W187"/>
    <mergeCell ref="X187:AE187"/>
    <mergeCell ref="AF187:AN187"/>
    <mergeCell ref="A189:AN189"/>
    <mergeCell ref="A191:AN192"/>
    <mergeCell ref="A194:R194"/>
    <mergeCell ref="S194:U194"/>
    <mergeCell ref="A195:R195"/>
    <mergeCell ref="S195:U195"/>
    <mergeCell ref="A196:R196"/>
    <mergeCell ref="S196:U196"/>
    <mergeCell ref="A197:R197"/>
    <mergeCell ref="S197:U197"/>
    <mergeCell ref="A198:R198"/>
    <mergeCell ref="S198:U198"/>
    <mergeCell ref="A199:R199"/>
    <mergeCell ref="S199:U199"/>
    <mergeCell ref="A200:R200"/>
    <mergeCell ref="S200:U200"/>
    <mergeCell ref="A201:R201"/>
    <mergeCell ref="S201:U201"/>
    <mergeCell ref="V201:X201"/>
    <mergeCell ref="Y201:AN201"/>
    <mergeCell ref="A203:AQ204"/>
    <mergeCell ref="A206:J206"/>
    <mergeCell ref="K206:Y206"/>
    <mergeCell ref="Z206:AF206"/>
    <mergeCell ref="AG206:AN206"/>
    <mergeCell ref="A207:J207"/>
    <mergeCell ref="K207:Y207"/>
    <mergeCell ref="Z207:AF207"/>
    <mergeCell ref="AG207:AN207"/>
    <mergeCell ref="A208:J208"/>
    <mergeCell ref="K208:Y208"/>
    <mergeCell ref="Z208:AF208"/>
    <mergeCell ref="AG208:AN208"/>
    <mergeCell ref="A209:J209"/>
    <mergeCell ref="K209:Y209"/>
    <mergeCell ref="Z209:AF209"/>
    <mergeCell ref="AG209:AN209"/>
    <mergeCell ref="A210:J210"/>
    <mergeCell ref="K210:Y210"/>
    <mergeCell ref="Z210:AF210"/>
    <mergeCell ref="AG210:AN210"/>
    <mergeCell ref="A211:J211"/>
    <mergeCell ref="K211:Y211"/>
    <mergeCell ref="Z211:AF211"/>
    <mergeCell ref="AG211:AN211"/>
    <mergeCell ref="A212:J212"/>
    <mergeCell ref="K212:Y212"/>
    <mergeCell ref="Z212:AF212"/>
    <mergeCell ref="AG212:AN212"/>
    <mergeCell ref="A213:J213"/>
    <mergeCell ref="K213:Y213"/>
    <mergeCell ref="Z213:AF213"/>
    <mergeCell ref="AG213:AN213"/>
    <mergeCell ref="A214:J214"/>
    <mergeCell ref="K214:Y214"/>
    <mergeCell ref="Z214:AF214"/>
    <mergeCell ref="AG214:AN214"/>
    <mergeCell ref="A215:Y215"/>
    <mergeCell ref="Z215:AN215"/>
    <mergeCell ref="A218:AO218"/>
    <mergeCell ref="A220:AN220"/>
    <mergeCell ref="A222:AF222"/>
    <mergeCell ref="AG222:AN222"/>
    <mergeCell ref="A223:AF223"/>
    <mergeCell ref="AG223:AN223"/>
    <mergeCell ref="A224:AF224"/>
    <mergeCell ref="AG224:AN224"/>
    <mergeCell ref="A225:AF225"/>
    <mergeCell ref="AG225:AN225"/>
    <mergeCell ref="A226:AF226"/>
    <mergeCell ref="AG226:AN226"/>
    <mergeCell ref="A228:AN228"/>
    <mergeCell ref="A229:J229"/>
    <mergeCell ref="K229:N229"/>
    <mergeCell ref="O229:AF229"/>
    <mergeCell ref="AG229:AN229"/>
    <mergeCell ref="A230:J230"/>
    <mergeCell ref="K230:N230"/>
    <mergeCell ref="O230:AF230"/>
    <mergeCell ref="AG230:AN230"/>
    <mergeCell ref="A231:J231"/>
    <mergeCell ref="K231:N231"/>
    <mergeCell ref="O231:AF231"/>
    <mergeCell ref="AG231:AN231"/>
    <mergeCell ref="A232:J232"/>
    <mergeCell ref="K232:N232"/>
    <mergeCell ref="O232:AF232"/>
    <mergeCell ref="AG232:AN232"/>
    <mergeCell ref="A233:J233"/>
    <mergeCell ref="K233:N233"/>
    <mergeCell ref="O233:AF233"/>
    <mergeCell ref="AG233:AN233"/>
    <mergeCell ref="A234:AF234"/>
    <mergeCell ref="AG234:AN234"/>
    <mergeCell ref="A236:J236"/>
    <mergeCell ref="K236:N236"/>
    <mergeCell ref="O236:AF236"/>
    <mergeCell ref="AG236:AN236"/>
    <mergeCell ref="A237:J237"/>
    <mergeCell ref="K237:N237"/>
    <mergeCell ref="O237:AF237"/>
    <mergeCell ref="AG237:AN237"/>
    <mergeCell ref="A238:J238"/>
    <mergeCell ref="K238:N238"/>
    <mergeCell ref="O238:AF238"/>
    <mergeCell ref="AG238:AN238"/>
    <mergeCell ref="A239:J239"/>
    <mergeCell ref="K239:N239"/>
    <mergeCell ref="O239:AF239"/>
    <mergeCell ref="AG239:AN239"/>
    <mergeCell ref="A240:J240"/>
    <mergeCell ref="K240:N240"/>
    <mergeCell ref="O240:AF240"/>
    <mergeCell ref="AG240:AN240"/>
    <mergeCell ref="A241:AF241"/>
    <mergeCell ref="AG241:AN241"/>
    <mergeCell ref="A243:AO243"/>
    <mergeCell ref="A244:AN245"/>
    <mergeCell ref="A247:E247"/>
    <mergeCell ref="F247:AI247"/>
    <mergeCell ref="F249:Q249"/>
    <mergeCell ref="A250:E250"/>
    <mergeCell ref="F250:H250"/>
    <mergeCell ref="I250:K250"/>
    <mergeCell ref="L250:N250"/>
    <mergeCell ref="O250:Q250"/>
    <mergeCell ref="A251:E251"/>
    <mergeCell ref="F251:H251"/>
    <mergeCell ref="I251:K251"/>
    <mergeCell ref="L251:N251"/>
    <mergeCell ref="O251:Q251"/>
    <mergeCell ref="A253:AN253"/>
    <mergeCell ref="A255:P255"/>
    <mergeCell ref="Q255:V255"/>
    <mergeCell ref="W255:AB255"/>
    <mergeCell ref="AC255:AH255"/>
    <mergeCell ref="AI255:AN255"/>
    <mergeCell ref="AO255:AT255"/>
    <mergeCell ref="A256:P256"/>
    <mergeCell ref="Q256:V256"/>
    <mergeCell ref="W256:AB256"/>
    <mergeCell ref="AC256:AH256"/>
    <mergeCell ref="AI256:AN256"/>
    <mergeCell ref="AO256:AT256"/>
    <mergeCell ref="A257:P257"/>
    <mergeCell ref="Q257:V257"/>
    <mergeCell ref="W257:AB257"/>
    <mergeCell ref="AC257:AH257"/>
    <mergeCell ref="AI257:AN257"/>
    <mergeCell ref="AO257:AT257"/>
    <mergeCell ref="A258:P258"/>
    <mergeCell ref="Q258:V258"/>
    <mergeCell ref="W258:AB258"/>
    <mergeCell ref="AC258:AH258"/>
    <mergeCell ref="AI258:AN258"/>
    <mergeCell ref="AO258:AT258"/>
    <mergeCell ref="A261:AO261"/>
    <mergeCell ref="A264:L264"/>
    <mergeCell ref="M264:BN264"/>
    <mergeCell ref="G266:R266"/>
    <mergeCell ref="S266:AD266"/>
    <mergeCell ref="AE266:AP266"/>
    <mergeCell ref="AQ266:BB266"/>
    <mergeCell ref="BC266:BN266"/>
    <mergeCell ref="G267:J267"/>
    <mergeCell ref="K267:R267"/>
    <mergeCell ref="S267:V267"/>
    <mergeCell ref="W267:AD267"/>
    <mergeCell ref="AE267:AH267"/>
    <mergeCell ref="AI267:AP267"/>
    <mergeCell ref="AQ267:AT267"/>
    <mergeCell ref="AU267:BB267"/>
    <mergeCell ref="BC267:BF267"/>
    <mergeCell ref="BG267:BN267"/>
    <mergeCell ref="A268:F268"/>
    <mergeCell ref="G268:J268"/>
    <mergeCell ref="K268:R268"/>
    <mergeCell ref="S268:V268"/>
    <mergeCell ref="W268:AD268"/>
    <mergeCell ref="AE268:AH268"/>
    <mergeCell ref="AI268:AP268"/>
    <mergeCell ref="AQ268:AT268"/>
    <mergeCell ref="AU268:BB268"/>
    <mergeCell ref="BC268:BF268"/>
    <mergeCell ref="BG268:BN268"/>
    <mergeCell ref="A269:F269"/>
    <mergeCell ref="G269:J269"/>
    <mergeCell ref="K269:R269"/>
    <mergeCell ref="S269:V269"/>
    <mergeCell ref="W269:AD269"/>
    <mergeCell ref="AE269:AH269"/>
    <mergeCell ref="AI269:AP269"/>
    <mergeCell ref="AQ269:AT269"/>
    <mergeCell ref="AU269:BB269"/>
    <mergeCell ref="BC269:BF269"/>
    <mergeCell ref="BG269:BN269"/>
    <mergeCell ref="A270:F270"/>
    <mergeCell ref="G270:J270"/>
    <mergeCell ref="K270:R270"/>
    <mergeCell ref="S270:V270"/>
    <mergeCell ref="W270:AD270"/>
    <mergeCell ref="AE270:AH270"/>
    <mergeCell ref="AI270:AP270"/>
    <mergeCell ref="AQ270:AT270"/>
    <mergeCell ref="AU270:BB270"/>
    <mergeCell ref="BC270:BF270"/>
    <mergeCell ref="BG270:BN270"/>
    <mergeCell ref="A271:F271"/>
    <mergeCell ref="G271:J271"/>
    <mergeCell ref="K271:R271"/>
    <mergeCell ref="S271:V271"/>
    <mergeCell ref="W271:AD271"/>
    <mergeCell ref="AE271:AH271"/>
    <mergeCell ref="AI271:AP271"/>
    <mergeCell ref="AQ271:AT271"/>
    <mergeCell ref="AU271:BB271"/>
    <mergeCell ref="BC271:BF271"/>
    <mergeCell ref="BG271:BN271"/>
    <mergeCell ref="A272:F272"/>
    <mergeCell ref="G272:J272"/>
    <mergeCell ref="K272:R272"/>
    <mergeCell ref="S272:V272"/>
    <mergeCell ref="W272:AD272"/>
    <mergeCell ref="AE272:AH272"/>
    <mergeCell ref="AI272:AP272"/>
    <mergeCell ref="AQ272:AT272"/>
    <mergeCell ref="AU272:BB272"/>
    <mergeCell ref="BC272:BF272"/>
    <mergeCell ref="BG272:BN272"/>
    <mergeCell ref="A273:F273"/>
    <mergeCell ref="G273:J273"/>
    <mergeCell ref="K273:R273"/>
    <mergeCell ref="S273:V273"/>
    <mergeCell ref="W273:AD273"/>
    <mergeCell ref="AE273:AH273"/>
    <mergeCell ref="AI273:AP273"/>
    <mergeCell ref="AQ273:AT273"/>
    <mergeCell ref="AU273:BB273"/>
    <mergeCell ref="BC273:BF273"/>
    <mergeCell ref="BG273:BN273"/>
    <mergeCell ref="A274:F274"/>
    <mergeCell ref="G274:J274"/>
    <mergeCell ref="K274:R274"/>
    <mergeCell ref="S274:V274"/>
    <mergeCell ref="W274:AD274"/>
    <mergeCell ref="AE274:AH274"/>
    <mergeCell ref="AI274:AP274"/>
    <mergeCell ref="AQ274:AT274"/>
    <mergeCell ref="AU274:BB274"/>
    <mergeCell ref="BC274:BF274"/>
    <mergeCell ref="BG274:BN274"/>
    <mergeCell ref="A275:F275"/>
    <mergeCell ref="G275:J275"/>
    <mergeCell ref="K275:R275"/>
    <mergeCell ref="S275:V275"/>
    <mergeCell ref="W275:AD275"/>
    <mergeCell ref="AE275:AH275"/>
    <mergeCell ref="AI275:AP275"/>
    <mergeCell ref="AQ275:AT275"/>
    <mergeCell ref="AU275:BB275"/>
    <mergeCell ref="BC275:BF275"/>
    <mergeCell ref="BG275:BN275"/>
    <mergeCell ref="A276:F276"/>
    <mergeCell ref="G276:J276"/>
    <mergeCell ref="K276:R276"/>
    <mergeCell ref="S276:V276"/>
    <mergeCell ref="W276:AD276"/>
    <mergeCell ref="AE276:AH276"/>
    <mergeCell ref="AI276:AP276"/>
    <mergeCell ref="AQ276:AT276"/>
    <mergeCell ref="AU276:BB276"/>
    <mergeCell ref="BC276:BF276"/>
    <mergeCell ref="BG276:BN276"/>
    <mergeCell ref="A277:F277"/>
    <mergeCell ref="G277:J277"/>
    <mergeCell ref="K277:R277"/>
    <mergeCell ref="S277:V277"/>
    <mergeCell ref="W277:AD277"/>
    <mergeCell ref="AE277:AH277"/>
    <mergeCell ref="AI277:AP277"/>
    <mergeCell ref="AQ277:AT277"/>
    <mergeCell ref="AU277:BB277"/>
    <mergeCell ref="BC277:BF277"/>
    <mergeCell ref="BG277:BN277"/>
    <mergeCell ref="A278:F278"/>
    <mergeCell ref="G278:J278"/>
    <mergeCell ref="K278:R278"/>
    <mergeCell ref="S278:V278"/>
    <mergeCell ref="W278:AD278"/>
    <mergeCell ref="AE278:AH278"/>
    <mergeCell ref="AI278:AP278"/>
    <mergeCell ref="AQ278:AT278"/>
    <mergeCell ref="AU278:BB278"/>
    <mergeCell ref="BC278:BF278"/>
    <mergeCell ref="BG278:BN278"/>
    <mergeCell ref="A279:F279"/>
    <mergeCell ref="G279:J279"/>
    <mergeCell ref="K279:R279"/>
    <mergeCell ref="S279:V279"/>
    <mergeCell ref="W279:AD279"/>
    <mergeCell ref="AE279:AH279"/>
    <mergeCell ref="AI279:AP279"/>
    <mergeCell ref="AQ279:AT279"/>
    <mergeCell ref="AU279:BB279"/>
    <mergeCell ref="BC279:BF279"/>
    <mergeCell ref="BG279:BN279"/>
    <mergeCell ref="A280:F280"/>
    <mergeCell ref="G280:J280"/>
    <mergeCell ref="K280:R280"/>
    <mergeCell ref="S280:V280"/>
    <mergeCell ref="W280:AD280"/>
    <mergeCell ref="AE280:AH280"/>
    <mergeCell ref="AI280:AP280"/>
    <mergeCell ref="AQ280:AT280"/>
    <mergeCell ref="AU280:BB280"/>
    <mergeCell ref="BC280:BF280"/>
    <mergeCell ref="BG280:BN280"/>
    <mergeCell ref="A282:L282"/>
    <mergeCell ref="M282:BN282"/>
    <mergeCell ref="G284:R284"/>
    <mergeCell ref="S284:AD284"/>
    <mergeCell ref="AE284:AP284"/>
    <mergeCell ref="AQ284:BB284"/>
    <mergeCell ref="BC284:BN284"/>
    <mergeCell ref="G285:J285"/>
    <mergeCell ref="K285:R285"/>
    <mergeCell ref="S285:V285"/>
    <mergeCell ref="W285:AD285"/>
    <mergeCell ref="AE285:AH285"/>
    <mergeCell ref="AI285:AP285"/>
    <mergeCell ref="AQ285:AT285"/>
    <mergeCell ref="AU285:BB285"/>
    <mergeCell ref="BC285:BF285"/>
    <mergeCell ref="BG285:BN285"/>
    <mergeCell ref="A286:F286"/>
    <mergeCell ref="G286:J286"/>
    <mergeCell ref="K286:R286"/>
    <mergeCell ref="S286:V286"/>
    <mergeCell ref="W286:AD286"/>
    <mergeCell ref="AE286:AH286"/>
    <mergeCell ref="AI286:AP286"/>
    <mergeCell ref="AQ286:AT286"/>
    <mergeCell ref="AU286:BB286"/>
    <mergeCell ref="BC286:BF286"/>
    <mergeCell ref="BG286:BN286"/>
    <mergeCell ref="A287:F287"/>
    <mergeCell ref="G287:J287"/>
    <mergeCell ref="K287:R287"/>
    <mergeCell ref="S287:V287"/>
    <mergeCell ref="W287:AD287"/>
    <mergeCell ref="AE287:AH287"/>
    <mergeCell ref="AI287:AP287"/>
    <mergeCell ref="AQ287:AT287"/>
    <mergeCell ref="AU287:BB287"/>
    <mergeCell ref="BC287:BF287"/>
    <mergeCell ref="BG287:BN287"/>
    <mergeCell ref="A288:F288"/>
    <mergeCell ref="G288:J288"/>
    <mergeCell ref="K288:R288"/>
    <mergeCell ref="S288:V288"/>
    <mergeCell ref="W288:AD288"/>
    <mergeCell ref="AE288:AH288"/>
    <mergeCell ref="AI288:AP288"/>
    <mergeCell ref="AQ288:AT288"/>
    <mergeCell ref="AU288:BB288"/>
    <mergeCell ref="BC288:BF288"/>
    <mergeCell ref="BG288:BN288"/>
    <mergeCell ref="A289:F289"/>
    <mergeCell ref="G289:J289"/>
    <mergeCell ref="K289:R289"/>
    <mergeCell ref="S289:V289"/>
    <mergeCell ref="W289:AD289"/>
    <mergeCell ref="AE289:AH289"/>
    <mergeCell ref="AI289:AP289"/>
    <mergeCell ref="AQ289:AT289"/>
    <mergeCell ref="AU289:BB289"/>
    <mergeCell ref="BC289:BF289"/>
    <mergeCell ref="BG289:BN289"/>
    <mergeCell ref="A290:F290"/>
    <mergeCell ref="G290:J290"/>
    <mergeCell ref="K290:R290"/>
    <mergeCell ref="S290:V290"/>
    <mergeCell ref="W290:AD290"/>
    <mergeCell ref="AE290:AH290"/>
    <mergeCell ref="AI290:AP290"/>
    <mergeCell ref="AQ290:AT290"/>
    <mergeCell ref="AU290:BB290"/>
    <mergeCell ref="BC290:BF290"/>
    <mergeCell ref="BG290:BN290"/>
    <mergeCell ref="A291:F291"/>
    <mergeCell ref="G291:J291"/>
    <mergeCell ref="K291:R291"/>
    <mergeCell ref="S291:V291"/>
    <mergeCell ref="W291:AD291"/>
    <mergeCell ref="AE291:AH291"/>
    <mergeCell ref="AI291:AP291"/>
    <mergeCell ref="AQ291:AT291"/>
    <mergeCell ref="AU291:BB291"/>
    <mergeCell ref="BC291:BF291"/>
    <mergeCell ref="BG291:BN291"/>
    <mergeCell ref="A292:F292"/>
    <mergeCell ref="G292:J292"/>
    <mergeCell ref="K292:R292"/>
    <mergeCell ref="S292:V292"/>
    <mergeCell ref="W292:AD292"/>
    <mergeCell ref="AE292:AH292"/>
    <mergeCell ref="AI292:AP292"/>
    <mergeCell ref="AQ292:AT292"/>
    <mergeCell ref="AU292:BB292"/>
    <mergeCell ref="BC292:BF292"/>
    <mergeCell ref="BG292:BN292"/>
    <mergeCell ref="A293:F293"/>
    <mergeCell ref="G293:J293"/>
    <mergeCell ref="K293:R293"/>
    <mergeCell ref="S293:V293"/>
    <mergeCell ref="W293:AD293"/>
    <mergeCell ref="AE293:AH293"/>
    <mergeCell ref="AI293:AP293"/>
    <mergeCell ref="AQ293:AT293"/>
    <mergeCell ref="AU293:BB293"/>
    <mergeCell ref="BC293:BF293"/>
    <mergeCell ref="BG293:BN293"/>
    <mergeCell ref="A294:F294"/>
    <mergeCell ref="G294:J294"/>
    <mergeCell ref="K294:R294"/>
    <mergeCell ref="S294:V294"/>
    <mergeCell ref="W294:AD294"/>
    <mergeCell ref="AE294:AH294"/>
    <mergeCell ref="AI294:AP294"/>
    <mergeCell ref="AQ294:AT294"/>
    <mergeCell ref="AU294:BB294"/>
    <mergeCell ref="BC294:BF294"/>
    <mergeCell ref="BG294:BN294"/>
    <mergeCell ref="A295:F295"/>
    <mergeCell ref="G295:J295"/>
    <mergeCell ref="K295:R295"/>
    <mergeCell ref="S295:V295"/>
    <mergeCell ref="W295:AD295"/>
    <mergeCell ref="AE295:AH295"/>
    <mergeCell ref="AI295:AP295"/>
    <mergeCell ref="AQ295:AT295"/>
    <mergeCell ref="AU295:BB295"/>
    <mergeCell ref="BC295:BF295"/>
    <mergeCell ref="BG295:BN295"/>
    <mergeCell ref="A296:F296"/>
    <mergeCell ref="G296:J296"/>
    <mergeCell ref="K296:R296"/>
    <mergeCell ref="S296:V296"/>
    <mergeCell ref="W296:AD296"/>
    <mergeCell ref="AE296:AH296"/>
    <mergeCell ref="AI296:AP296"/>
    <mergeCell ref="AQ296:AT296"/>
    <mergeCell ref="AU296:BB296"/>
    <mergeCell ref="BC296:BF296"/>
    <mergeCell ref="BG296:BN296"/>
    <mergeCell ref="A297:F297"/>
    <mergeCell ref="G297:J297"/>
    <mergeCell ref="K297:R297"/>
    <mergeCell ref="S297:V297"/>
    <mergeCell ref="W297:AD297"/>
    <mergeCell ref="AE297:AH297"/>
    <mergeCell ref="AI297:AP297"/>
    <mergeCell ref="AQ297:AT297"/>
    <mergeCell ref="AU297:BB297"/>
    <mergeCell ref="BC297:BF297"/>
    <mergeCell ref="BG297:BN297"/>
    <mergeCell ref="A298:F298"/>
    <mergeCell ref="G298:J298"/>
    <mergeCell ref="K298:R298"/>
    <mergeCell ref="S298:V298"/>
    <mergeCell ref="W298:AD298"/>
    <mergeCell ref="AE298:AH298"/>
    <mergeCell ref="AI298:AP298"/>
    <mergeCell ref="AQ298:AT298"/>
    <mergeCell ref="AU298:BB298"/>
    <mergeCell ref="BC298:BF298"/>
    <mergeCell ref="BG298:BN298"/>
    <mergeCell ref="A300:L300"/>
    <mergeCell ref="M300:BN300"/>
    <mergeCell ref="G302:R302"/>
    <mergeCell ref="S302:AD302"/>
    <mergeCell ref="AE302:AP302"/>
    <mergeCell ref="AQ302:BB302"/>
    <mergeCell ref="BC302:BN302"/>
    <mergeCell ref="G303:J303"/>
    <mergeCell ref="K303:R303"/>
    <mergeCell ref="S303:V303"/>
    <mergeCell ref="W303:AD303"/>
    <mergeCell ref="AE303:AH303"/>
    <mergeCell ref="AI303:AP303"/>
    <mergeCell ref="AQ303:AT303"/>
    <mergeCell ref="AU303:BB303"/>
    <mergeCell ref="BC303:BF303"/>
    <mergeCell ref="BG303:BN303"/>
    <mergeCell ref="A304:F304"/>
    <mergeCell ref="G304:J304"/>
    <mergeCell ref="K304:R304"/>
    <mergeCell ref="S304:V304"/>
    <mergeCell ref="W304:AD304"/>
    <mergeCell ref="AE304:AH304"/>
    <mergeCell ref="AI304:AP304"/>
    <mergeCell ref="AQ304:AT304"/>
    <mergeCell ref="AU304:BB304"/>
    <mergeCell ref="BC304:BF304"/>
    <mergeCell ref="BG304:BN304"/>
    <mergeCell ref="A305:F305"/>
    <mergeCell ref="G305:J305"/>
    <mergeCell ref="K305:R305"/>
    <mergeCell ref="S305:V305"/>
    <mergeCell ref="W305:AD305"/>
    <mergeCell ref="AE305:AH305"/>
    <mergeCell ref="AI305:AP305"/>
    <mergeCell ref="AQ305:AT305"/>
    <mergeCell ref="AU305:BB305"/>
    <mergeCell ref="BC305:BF305"/>
    <mergeCell ref="BG305:BN305"/>
    <mergeCell ref="A306:F306"/>
    <mergeCell ref="G306:J306"/>
    <mergeCell ref="K306:R306"/>
    <mergeCell ref="S306:V306"/>
    <mergeCell ref="W306:AD306"/>
    <mergeCell ref="AE306:AH306"/>
    <mergeCell ref="AI306:AP306"/>
    <mergeCell ref="AQ306:AT306"/>
    <mergeCell ref="AU306:BB306"/>
    <mergeCell ref="BC306:BF306"/>
    <mergeCell ref="BG306:BN306"/>
    <mergeCell ref="A307:F307"/>
    <mergeCell ref="G307:J307"/>
    <mergeCell ref="K307:R307"/>
    <mergeCell ref="S307:V307"/>
    <mergeCell ref="W307:AD307"/>
    <mergeCell ref="AE307:AH307"/>
    <mergeCell ref="AI307:AP307"/>
    <mergeCell ref="AQ307:AT307"/>
    <mergeCell ref="AU307:BB307"/>
    <mergeCell ref="BC307:BF307"/>
    <mergeCell ref="BG307:BN307"/>
    <mergeCell ref="A308:F308"/>
    <mergeCell ref="G308:J308"/>
    <mergeCell ref="K308:R308"/>
    <mergeCell ref="S308:V308"/>
    <mergeCell ref="W308:AD308"/>
    <mergeCell ref="AE308:AH308"/>
    <mergeCell ref="AI308:AP308"/>
    <mergeCell ref="AQ308:AT308"/>
    <mergeCell ref="AU308:BB308"/>
    <mergeCell ref="BC308:BF308"/>
    <mergeCell ref="BG308:BN308"/>
    <mergeCell ref="A309:F309"/>
    <mergeCell ref="G309:J309"/>
    <mergeCell ref="K309:R309"/>
    <mergeCell ref="S309:V309"/>
    <mergeCell ref="W309:AD309"/>
    <mergeCell ref="AE309:AH309"/>
    <mergeCell ref="AI309:AP309"/>
    <mergeCell ref="AQ309:AT309"/>
    <mergeCell ref="AU309:BB309"/>
    <mergeCell ref="BC309:BF309"/>
    <mergeCell ref="BG309:BN309"/>
    <mergeCell ref="A310:F310"/>
    <mergeCell ref="G310:J310"/>
    <mergeCell ref="K310:R310"/>
    <mergeCell ref="S310:V310"/>
    <mergeCell ref="W310:AD310"/>
    <mergeCell ref="AE310:AH310"/>
    <mergeCell ref="AI310:AP310"/>
    <mergeCell ref="AQ310:AT310"/>
    <mergeCell ref="AU310:BB310"/>
    <mergeCell ref="BC310:BF310"/>
    <mergeCell ref="BG310:BN310"/>
    <mergeCell ref="A311:F311"/>
    <mergeCell ref="G311:J311"/>
    <mergeCell ref="K311:R311"/>
    <mergeCell ref="S311:V311"/>
    <mergeCell ref="W311:AD311"/>
    <mergeCell ref="AE311:AH311"/>
    <mergeCell ref="AI311:AP311"/>
    <mergeCell ref="AQ311:AT311"/>
    <mergeCell ref="AU311:BB311"/>
    <mergeCell ref="BC311:BF311"/>
    <mergeCell ref="BG311:BN311"/>
    <mergeCell ref="A312:F312"/>
    <mergeCell ref="G312:J312"/>
    <mergeCell ref="K312:R312"/>
    <mergeCell ref="S312:V312"/>
    <mergeCell ref="W312:AD312"/>
    <mergeCell ref="AE312:AH312"/>
    <mergeCell ref="AI312:AP312"/>
    <mergeCell ref="AQ312:AT312"/>
    <mergeCell ref="AU312:BB312"/>
    <mergeCell ref="BC312:BF312"/>
    <mergeCell ref="BG312:BN312"/>
    <mergeCell ref="A313:F313"/>
    <mergeCell ref="G313:J313"/>
    <mergeCell ref="K313:R313"/>
    <mergeCell ref="S313:V313"/>
    <mergeCell ref="W313:AD313"/>
    <mergeCell ref="AE313:AH313"/>
    <mergeCell ref="AI313:AP313"/>
    <mergeCell ref="AQ313:AT313"/>
    <mergeCell ref="AU313:BB313"/>
    <mergeCell ref="BC313:BF313"/>
    <mergeCell ref="BG313:BN313"/>
    <mergeCell ref="A314:F314"/>
    <mergeCell ref="G314:J314"/>
    <mergeCell ref="K314:R314"/>
    <mergeCell ref="S314:V314"/>
    <mergeCell ref="W314:AD314"/>
    <mergeCell ref="AE314:AH314"/>
    <mergeCell ref="AI314:AP314"/>
    <mergeCell ref="AQ314:AT314"/>
    <mergeCell ref="AU314:BB314"/>
    <mergeCell ref="BC314:BF314"/>
    <mergeCell ref="BG314:BN314"/>
    <mergeCell ref="A315:F315"/>
    <mergeCell ref="G315:J315"/>
    <mergeCell ref="K315:R315"/>
    <mergeCell ref="S315:V315"/>
    <mergeCell ref="W315:AD315"/>
    <mergeCell ref="AE315:AH315"/>
    <mergeCell ref="AI315:AP315"/>
    <mergeCell ref="AQ315:AT315"/>
    <mergeCell ref="AU315:BB315"/>
    <mergeCell ref="BC315:BF315"/>
    <mergeCell ref="BG315:BN315"/>
    <mergeCell ref="A316:F316"/>
    <mergeCell ref="G316:J316"/>
    <mergeCell ref="K316:R316"/>
    <mergeCell ref="S316:V316"/>
    <mergeCell ref="W316:AD316"/>
    <mergeCell ref="AE316:AH316"/>
    <mergeCell ref="AI316:AP316"/>
    <mergeCell ref="AQ316:AT316"/>
    <mergeCell ref="AU316:BB316"/>
    <mergeCell ref="BC316:BF316"/>
    <mergeCell ref="BG316:BN316"/>
    <mergeCell ref="A318:AN318"/>
    <mergeCell ref="A319:AN320"/>
    <mergeCell ref="A322:AN322"/>
    <mergeCell ref="A323:S323"/>
    <mergeCell ref="T323:Z323"/>
    <mergeCell ref="AA323:AD323"/>
    <mergeCell ref="AE323:AN323"/>
    <mergeCell ref="A324:S324"/>
    <mergeCell ref="T324:Z324"/>
    <mergeCell ref="AA324:AD324"/>
    <mergeCell ref="AE324:AN324"/>
    <mergeCell ref="A325:S325"/>
    <mergeCell ref="T325:Z325"/>
    <mergeCell ref="AA325:AD325"/>
    <mergeCell ref="AE325:AN325"/>
    <mergeCell ref="A326:S326"/>
    <mergeCell ref="T326:Z326"/>
    <mergeCell ref="AA326:AD326"/>
    <mergeCell ref="AE326:AN326"/>
    <mergeCell ref="A327:S327"/>
    <mergeCell ref="T327:Z327"/>
    <mergeCell ref="AA327:AD327"/>
    <mergeCell ref="AE327:AN327"/>
    <mergeCell ref="A328:S328"/>
    <mergeCell ref="T328:Z328"/>
    <mergeCell ref="AA328:AD328"/>
    <mergeCell ref="AE328:AN328"/>
    <mergeCell ref="A329:S329"/>
    <mergeCell ref="T329:Z329"/>
    <mergeCell ref="AA329:AD329"/>
    <mergeCell ref="AE329:AN329"/>
    <mergeCell ref="A330:S330"/>
    <mergeCell ref="T330:Z330"/>
    <mergeCell ref="AA330:AD330"/>
    <mergeCell ref="AE330:AN330"/>
    <mergeCell ref="A331:S331"/>
    <mergeCell ref="T331:Z331"/>
    <mergeCell ref="AA331:AD331"/>
    <mergeCell ref="AE331:AN331"/>
    <mergeCell ref="A332:S332"/>
    <mergeCell ref="T332:Z332"/>
    <mergeCell ref="AE332:AN332"/>
    <mergeCell ref="A334:AN334"/>
    <mergeCell ref="A340:Y340"/>
    <mergeCell ref="Z340:AN340"/>
    <mergeCell ref="A341:J341"/>
    <mergeCell ref="K341:Q341"/>
    <mergeCell ref="R341:Z341"/>
    <mergeCell ref="AA341:AD341"/>
    <mergeCell ref="AE341:AN341"/>
    <mergeCell ref="A342:J342"/>
    <mergeCell ref="K342:Q342"/>
    <mergeCell ref="R342:Z342"/>
    <mergeCell ref="AA342:AD342"/>
    <mergeCell ref="AE342:AN342"/>
    <mergeCell ref="A343:J343"/>
    <mergeCell ref="K343:Q343"/>
    <mergeCell ref="R343:Z343"/>
    <mergeCell ref="AA343:AD343"/>
    <mergeCell ref="AE343:AN343"/>
    <mergeCell ref="A344:J344"/>
    <mergeCell ref="K344:Q344"/>
    <mergeCell ref="R344:Z344"/>
    <mergeCell ref="AA344:AD344"/>
    <mergeCell ref="AE344:AN344"/>
    <mergeCell ref="A345:J345"/>
    <mergeCell ref="K345:Q345"/>
    <mergeCell ref="R345:Z345"/>
    <mergeCell ref="AA345:AD345"/>
    <mergeCell ref="AE345:AN345"/>
    <mergeCell ref="A346:J346"/>
    <mergeCell ref="K346:Q346"/>
    <mergeCell ref="R346:Z346"/>
    <mergeCell ref="AA346:AD346"/>
    <mergeCell ref="AE346:AN346"/>
    <mergeCell ref="A347:AD347"/>
    <mergeCell ref="AE347:AN347"/>
    <mergeCell ref="A349:Y349"/>
    <mergeCell ref="Z349:AN349"/>
    <mergeCell ref="A350:J350"/>
    <mergeCell ref="K350:Q350"/>
    <mergeCell ref="R350:Z350"/>
    <mergeCell ref="AA350:AD350"/>
    <mergeCell ref="AE350:AN350"/>
    <mergeCell ref="A351:J351"/>
    <mergeCell ref="K351:Q351"/>
    <mergeCell ref="R351:Z351"/>
    <mergeCell ref="AA351:AD351"/>
    <mergeCell ref="AE351:AN351"/>
    <mergeCell ref="A352:J352"/>
    <mergeCell ref="K352:Q352"/>
    <mergeCell ref="R352:Z352"/>
    <mergeCell ref="AA352:AD352"/>
    <mergeCell ref="AE352:AN352"/>
    <mergeCell ref="A353:J353"/>
    <mergeCell ref="K353:Q353"/>
    <mergeCell ref="R353:Z353"/>
    <mergeCell ref="AA353:AD353"/>
    <mergeCell ref="AE353:AN353"/>
    <mergeCell ref="A354:J354"/>
    <mergeCell ref="K354:Q354"/>
    <mergeCell ref="R354:Z354"/>
    <mergeCell ref="AA354:AD354"/>
    <mergeCell ref="AE354:AN354"/>
    <mergeCell ref="A355:J355"/>
    <mergeCell ref="K355:Q355"/>
    <mergeCell ref="R355:Z355"/>
    <mergeCell ref="AA355:AD355"/>
    <mergeCell ref="AE355:AN355"/>
    <mergeCell ref="A356:AD356"/>
    <mergeCell ref="AE356:AN356"/>
    <mergeCell ref="A358:Y358"/>
    <mergeCell ref="Z358:AN358"/>
    <mergeCell ref="A359:J359"/>
    <mergeCell ref="K359:Q359"/>
    <mergeCell ref="R359:Z359"/>
    <mergeCell ref="AA359:AD359"/>
    <mergeCell ref="AE359:AN359"/>
    <mergeCell ref="A360:J360"/>
    <mergeCell ref="K360:Q360"/>
    <mergeCell ref="R360:Z360"/>
    <mergeCell ref="AA360:AD360"/>
    <mergeCell ref="AE360:AN360"/>
    <mergeCell ref="A361:J361"/>
    <mergeCell ref="K361:Q361"/>
    <mergeCell ref="R361:Z361"/>
    <mergeCell ref="AA361:AD361"/>
    <mergeCell ref="AE361:AN361"/>
    <mergeCell ref="A362:J362"/>
    <mergeCell ref="K362:Q362"/>
    <mergeCell ref="R362:Z362"/>
    <mergeCell ref="AA362:AD362"/>
    <mergeCell ref="AE362:AN362"/>
    <mergeCell ref="A363:J363"/>
    <mergeCell ref="K363:Q363"/>
    <mergeCell ref="R363:Z363"/>
    <mergeCell ref="AA363:AD363"/>
    <mergeCell ref="AE363:AN363"/>
    <mergeCell ref="A364:J364"/>
    <mergeCell ref="K364:Q364"/>
    <mergeCell ref="R364:Z364"/>
    <mergeCell ref="AA364:AD364"/>
    <mergeCell ref="AE364:AN364"/>
    <mergeCell ref="A365:AD365"/>
    <mergeCell ref="AE365:AN365"/>
    <mergeCell ref="A367:AN367"/>
    <mergeCell ref="A369:L369"/>
    <mergeCell ref="M369:V369"/>
    <mergeCell ref="W369:AF369"/>
    <mergeCell ref="AG369:AP369"/>
    <mergeCell ref="A370:L370"/>
    <mergeCell ref="M370:V370"/>
    <mergeCell ref="W370:AF370"/>
    <mergeCell ref="AG370:AP370"/>
    <mergeCell ref="A371:L371"/>
    <mergeCell ref="M371:V371"/>
    <mergeCell ref="W371:AF371"/>
    <mergeCell ref="AG371:AP371"/>
    <mergeCell ref="A372:L372"/>
    <mergeCell ref="M372:V372"/>
    <mergeCell ref="W372:AF372"/>
    <mergeCell ref="AG372:AP372"/>
    <mergeCell ref="A373:L373"/>
    <mergeCell ref="M373:V373"/>
    <mergeCell ref="W373:AF373"/>
    <mergeCell ref="AG373:AP373"/>
    <mergeCell ref="A374:L374"/>
    <mergeCell ref="M374:V374"/>
    <mergeCell ref="W374:AF374"/>
    <mergeCell ref="AG374:AP374"/>
    <mergeCell ref="A375:L375"/>
    <mergeCell ref="M375:AP375"/>
    <mergeCell ref="A376:L376"/>
    <mergeCell ref="M376:V376"/>
    <mergeCell ref="W376:AF376"/>
    <mergeCell ref="AG376:AP376"/>
    <mergeCell ref="A378:AP378"/>
    <mergeCell ref="A379:AU379"/>
    <mergeCell ref="A381:L381"/>
    <mergeCell ref="M381:T381"/>
    <mergeCell ref="U381:X381"/>
    <mergeCell ref="Y381:AD381"/>
    <mergeCell ref="AE381:AJ381"/>
    <mergeCell ref="AK381:AP381"/>
    <mergeCell ref="AQ381:AV381"/>
    <mergeCell ref="AW381:BB381"/>
    <mergeCell ref="A382:L382"/>
    <mergeCell ref="M382:T382"/>
    <mergeCell ref="U382:X382"/>
    <mergeCell ref="Y382:AD382"/>
    <mergeCell ref="AE382:AJ382"/>
    <mergeCell ref="AK382:AP382"/>
    <mergeCell ref="AQ382:AV382"/>
    <mergeCell ref="AW382:BB382"/>
    <mergeCell ref="A383:L383"/>
    <mergeCell ref="M383:T383"/>
    <mergeCell ref="U383:X383"/>
    <mergeCell ref="Y383:AD383"/>
    <mergeCell ref="AE383:AJ383"/>
    <mergeCell ref="AK383:AP383"/>
    <mergeCell ref="AQ383:AV383"/>
    <mergeCell ref="AW383:BB383"/>
    <mergeCell ref="A384:L384"/>
    <mergeCell ref="M384:T384"/>
    <mergeCell ref="U384:X384"/>
    <mergeCell ref="Y384:AD384"/>
    <mergeCell ref="AE384:AJ384"/>
    <mergeCell ref="AK384:AP384"/>
    <mergeCell ref="AQ384:AV384"/>
    <mergeCell ref="AW384:BB384"/>
    <mergeCell ref="A385:L385"/>
    <mergeCell ref="M385:T385"/>
    <mergeCell ref="U385:X385"/>
    <mergeCell ref="Y385:AD385"/>
    <mergeCell ref="AE385:AJ385"/>
    <mergeCell ref="AK385:AP385"/>
    <mergeCell ref="AQ385:AV385"/>
    <mergeCell ref="AW385:BB385"/>
    <mergeCell ref="A386:L386"/>
    <mergeCell ref="M386:T386"/>
    <mergeCell ref="U386:X386"/>
    <mergeCell ref="Y386:AD386"/>
    <mergeCell ref="AE386:AJ386"/>
    <mergeCell ref="AK386:AP386"/>
    <mergeCell ref="AQ386:AV386"/>
    <mergeCell ref="AW386:BB386"/>
    <mergeCell ref="A387:L387"/>
    <mergeCell ref="M387:T387"/>
    <mergeCell ref="U387:X387"/>
    <mergeCell ref="Y387:AD387"/>
    <mergeCell ref="AE387:AJ387"/>
    <mergeCell ref="AK387:AP387"/>
    <mergeCell ref="AQ387:AV387"/>
    <mergeCell ref="AW387:BB387"/>
    <mergeCell ref="A388:L388"/>
    <mergeCell ref="M388:T388"/>
    <mergeCell ref="U388:X388"/>
    <mergeCell ref="Y388:AD388"/>
    <mergeCell ref="AE388:AJ388"/>
    <mergeCell ref="AK388:AP388"/>
    <mergeCell ref="AQ388:AV388"/>
    <mergeCell ref="AW388:BB388"/>
    <mergeCell ref="A389:L389"/>
    <mergeCell ref="M389:T389"/>
    <mergeCell ref="U389:X389"/>
    <mergeCell ref="Y389:AD389"/>
    <mergeCell ref="AE389:AJ389"/>
    <mergeCell ref="AK389:AP389"/>
    <mergeCell ref="AQ389:AV389"/>
    <mergeCell ref="AW389:BB389"/>
    <mergeCell ref="A390:L390"/>
    <mergeCell ref="M390:T390"/>
    <mergeCell ref="U390:X390"/>
    <mergeCell ref="Y390:AD390"/>
    <mergeCell ref="AE390:AJ390"/>
    <mergeCell ref="AK390:AP390"/>
    <mergeCell ref="AQ390:AV390"/>
    <mergeCell ref="AW390:BB390"/>
    <mergeCell ref="A391:L391"/>
    <mergeCell ref="M391:T391"/>
    <mergeCell ref="U391:X391"/>
    <mergeCell ref="Y391:AD391"/>
    <mergeCell ref="AE391:AJ391"/>
    <mergeCell ref="AK391:AP391"/>
    <mergeCell ref="AQ391:AV391"/>
    <mergeCell ref="AW391:BB391"/>
    <mergeCell ref="A392:X392"/>
    <mergeCell ref="Y392:AD392"/>
    <mergeCell ref="AE392:AJ392"/>
    <mergeCell ref="AK392:AP392"/>
    <mergeCell ref="AQ392:AV392"/>
    <mergeCell ref="AW392:BB392"/>
    <mergeCell ref="A395:AN395"/>
    <mergeCell ref="A396:AO397"/>
    <mergeCell ref="A399:K399"/>
    <mergeCell ref="A400:H400"/>
    <mergeCell ref="I400:K400"/>
    <mergeCell ref="A401:H401"/>
    <mergeCell ref="I401:K401"/>
    <mergeCell ref="A402:H402"/>
    <mergeCell ref="I402:K402"/>
    <mergeCell ref="A403:H403"/>
    <mergeCell ref="I403:K403"/>
    <mergeCell ref="A404:H404"/>
    <mergeCell ref="I404:K404"/>
    <mergeCell ref="A405:H405"/>
    <mergeCell ref="I405:K405"/>
    <mergeCell ref="A406:H406"/>
    <mergeCell ref="I406:K406"/>
    <mergeCell ref="A407:H407"/>
    <mergeCell ref="I407:K407"/>
    <mergeCell ref="A408:H408"/>
    <mergeCell ref="I408:K408"/>
    <mergeCell ref="A413:F413"/>
    <mergeCell ref="G413:L413"/>
    <mergeCell ref="M413:AA413"/>
    <mergeCell ref="AB413:AG413"/>
    <mergeCell ref="AH413:AJ413"/>
    <mergeCell ref="AK413:AO413"/>
    <mergeCell ref="AP413:AR413"/>
    <mergeCell ref="A414:F414"/>
    <mergeCell ref="G414:L414"/>
    <mergeCell ref="M414:AA414"/>
    <mergeCell ref="AB414:AG414"/>
    <mergeCell ref="AH414:AJ414"/>
    <mergeCell ref="AK414:AO414"/>
    <mergeCell ref="AP414:AR414"/>
    <mergeCell ref="A415:F415"/>
    <mergeCell ref="G415:L415"/>
    <mergeCell ref="M415:AA415"/>
    <mergeCell ref="AB415:AG415"/>
    <mergeCell ref="AH415:AJ415"/>
    <mergeCell ref="AK415:AO415"/>
    <mergeCell ref="AP415:AR415"/>
    <mergeCell ref="A416:F416"/>
    <mergeCell ref="G416:L416"/>
    <mergeCell ref="M416:AA416"/>
    <mergeCell ref="AB416:AG416"/>
    <mergeCell ref="AH416:AJ416"/>
    <mergeCell ref="AK416:AO416"/>
    <mergeCell ref="AP416:AR416"/>
    <mergeCell ref="A417:F417"/>
    <mergeCell ref="G417:L417"/>
    <mergeCell ref="M417:AA417"/>
    <mergeCell ref="AB417:AG417"/>
    <mergeCell ref="AH417:AJ417"/>
    <mergeCell ref="AK417:AO417"/>
    <mergeCell ref="AP417:AR417"/>
    <mergeCell ref="A418:F418"/>
    <mergeCell ref="G418:L418"/>
    <mergeCell ref="M418:AA418"/>
    <mergeCell ref="AB418:AG418"/>
    <mergeCell ref="AH418:AJ418"/>
    <mergeCell ref="AK418:AO418"/>
    <mergeCell ref="AP418:AR418"/>
    <mergeCell ref="A419:F419"/>
    <mergeCell ref="G419:L419"/>
    <mergeCell ref="M419:AA419"/>
    <mergeCell ref="AB419:AG419"/>
    <mergeCell ref="AH419:AJ419"/>
    <mergeCell ref="AK419:AO419"/>
    <mergeCell ref="AP419:AR419"/>
    <mergeCell ref="A420:F420"/>
    <mergeCell ref="G420:L420"/>
    <mergeCell ref="M420:AA420"/>
    <mergeCell ref="AB420:AG420"/>
    <mergeCell ref="AH420:AJ420"/>
    <mergeCell ref="AK420:AO420"/>
    <mergeCell ref="AP420:AR420"/>
    <mergeCell ref="A421:F421"/>
    <mergeCell ref="G421:L421"/>
    <mergeCell ref="M421:AA421"/>
    <mergeCell ref="AB421:AG421"/>
    <mergeCell ref="AH421:AJ421"/>
    <mergeCell ref="AK421:AO421"/>
    <mergeCell ref="AP421:AR421"/>
    <mergeCell ref="A422:F422"/>
    <mergeCell ref="G422:L422"/>
    <mergeCell ref="M422:AA422"/>
    <mergeCell ref="AB422:AG422"/>
    <mergeCell ref="AH422:AJ422"/>
    <mergeCell ref="AK422:AO422"/>
    <mergeCell ref="AP422:AR422"/>
    <mergeCell ref="A423:F423"/>
    <mergeCell ref="G423:L423"/>
    <mergeCell ref="M423:AA423"/>
    <mergeCell ref="AB423:AG423"/>
    <mergeCell ref="AH423:AJ423"/>
    <mergeCell ref="AK423:AO423"/>
    <mergeCell ref="AP423:AR423"/>
    <mergeCell ref="A424:AJ424"/>
    <mergeCell ref="AK424:AR424"/>
    <mergeCell ref="A426:AB426"/>
    <mergeCell ref="AC426:AH426"/>
    <mergeCell ref="A428:AN428"/>
    <mergeCell ref="A430:AO430"/>
    <mergeCell ref="A431:AR431"/>
    <mergeCell ref="A432:AR432"/>
    <mergeCell ref="A433:I433"/>
    <mergeCell ref="J433:S433"/>
    <mergeCell ref="T433:Z433"/>
    <mergeCell ref="AA433:AC433"/>
    <mergeCell ref="AD433:AL433"/>
    <mergeCell ref="AM433:AN433"/>
    <mergeCell ref="AO433:AR433"/>
    <mergeCell ref="AU433:BA433"/>
    <mergeCell ref="BB433:BD433"/>
    <mergeCell ref="BE433:BG433"/>
    <mergeCell ref="A434:I434"/>
    <mergeCell ref="J434:S434"/>
    <mergeCell ref="T434:Z434"/>
    <mergeCell ref="AA434:AC434"/>
    <mergeCell ref="AD434:AL434"/>
    <mergeCell ref="AM434:AN434"/>
    <mergeCell ref="AO434:AR434"/>
    <mergeCell ref="AU434:BA434"/>
    <mergeCell ref="BB434:BD434"/>
    <mergeCell ref="BE434:BG434"/>
    <mergeCell ref="A435:I435"/>
    <mergeCell ref="J435:S435"/>
    <mergeCell ref="T435:Z435"/>
    <mergeCell ref="AA435:AC435"/>
    <mergeCell ref="AD435:AL435"/>
    <mergeCell ref="AM435:AN435"/>
    <mergeCell ref="AO435:AR435"/>
    <mergeCell ref="AU435:BA435"/>
    <mergeCell ref="BB435:BD435"/>
    <mergeCell ref="BE435:BG435"/>
    <mergeCell ref="BH435:BJ435"/>
    <mergeCell ref="A436:I436"/>
    <mergeCell ref="J436:S436"/>
    <mergeCell ref="T436:Z436"/>
    <mergeCell ref="AA436:AC436"/>
    <mergeCell ref="AD436:AL436"/>
    <mergeCell ref="AM436:AN436"/>
    <mergeCell ref="AO436:AR436"/>
    <mergeCell ref="AU436:BA436"/>
    <mergeCell ref="BB436:BD436"/>
    <mergeCell ref="BE436:BG436"/>
    <mergeCell ref="BH436:BJ436"/>
    <mergeCell ref="A437:I437"/>
    <mergeCell ref="J437:S437"/>
    <mergeCell ref="T437:Z437"/>
    <mergeCell ref="AA437:AC437"/>
    <mergeCell ref="AD437:AL437"/>
    <mergeCell ref="AM437:AN437"/>
    <mergeCell ref="AO437:AR437"/>
    <mergeCell ref="AU437:BA437"/>
    <mergeCell ref="BB437:BD437"/>
    <mergeCell ref="BE437:BG437"/>
    <mergeCell ref="BH437:BJ437"/>
    <mergeCell ref="A438:I438"/>
    <mergeCell ref="J438:S438"/>
    <mergeCell ref="T438:Z438"/>
    <mergeCell ref="AA438:AC438"/>
    <mergeCell ref="AD438:AL438"/>
    <mergeCell ref="AM438:AN438"/>
    <mergeCell ref="AO438:AR438"/>
    <mergeCell ref="A439:I439"/>
    <mergeCell ref="J439:S439"/>
    <mergeCell ref="T439:Z439"/>
    <mergeCell ref="AA439:AC439"/>
    <mergeCell ref="AD439:AL439"/>
    <mergeCell ref="AM439:AN439"/>
    <mergeCell ref="AO439:AR439"/>
    <mergeCell ref="A440:I440"/>
    <mergeCell ref="J440:S440"/>
    <mergeCell ref="T440:Z440"/>
    <mergeCell ref="AA440:AC440"/>
    <mergeCell ref="AD440:AL440"/>
    <mergeCell ref="AM440:AN440"/>
    <mergeCell ref="AO440:AR440"/>
    <mergeCell ref="A441:I441"/>
    <mergeCell ref="J441:S441"/>
    <mergeCell ref="T441:Z441"/>
    <mergeCell ref="AA441:AC441"/>
    <mergeCell ref="AD441:AL441"/>
    <mergeCell ref="AM441:AN441"/>
    <mergeCell ref="AO441:AR441"/>
    <mergeCell ref="A442:I442"/>
    <mergeCell ref="J442:S442"/>
    <mergeCell ref="T442:Z442"/>
    <mergeCell ref="AA442:AC442"/>
    <mergeCell ref="AD442:AL442"/>
    <mergeCell ref="AM442:AN442"/>
    <mergeCell ref="AO442:AR442"/>
    <mergeCell ref="A443:I443"/>
    <mergeCell ref="J443:S443"/>
    <mergeCell ref="T443:Z443"/>
    <mergeCell ref="AA443:AC443"/>
    <mergeCell ref="AD443:AL443"/>
    <mergeCell ref="AM443:AN443"/>
    <mergeCell ref="AO443:AR443"/>
    <mergeCell ref="A444:I444"/>
    <mergeCell ref="J444:S444"/>
    <mergeCell ref="T444:Z444"/>
    <mergeCell ref="AA444:AC444"/>
    <mergeCell ref="AD444:AL444"/>
    <mergeCell ref="AM444:AN444"/>
    <mergeCell ref="AO444:AR444"/>
    <mergeCell ref="A445:I445"/>
    <mergeCell ref="J445:S445"/>
    <mergeCell ref="T445:Z445"/>
    <mergeCell ref="AA445:AC445"/>
    <mergeCell ref="AD445:AL445"/>
    <mergeCell ref="AM445:AN445"/>
    <mergeCell ref="AO445:AR445"/>
    <mergeCell ref="A446:I446"/>
    <mergeCell ref="J446:S446"/>
    <mergeCell ref="T446:Z446"/>
    <mergeCell ref="AA446:AC446"/>
    <mergeCell ref="AD446:AL446"/>
    <mergeCell ref="AM446:AN446"/>
    <mergeCell ref="AO446:AR446"/>
    <mergeCell ref="A447:I447"/>
    <mergeCell ref="J447:S447"/>
    <mergeCell ref="T447:Z447"/>
    <mergeCell ref="AA447:AC447"/>
    <mergeCell ref="AD447:AL447"/>
    <mergeCell ref="AM447:AN447"/>
    <mergeCell ref="AO447:AR447"/>
    <mergeCell ref="A448:I448"/>
    <mergeCell ref="J448:S448"/>
    <mergeCell ref="T448:Z448"/>
    <mergeCell ref="AA448:AC448"/>
    <mergeCell ref="AD448:AL448"/>
    <mergeCell ref="AM448:AN448"/>
    <mergeCell ref="AO448:AR448"/>
    <mergeCell ref="A449:I449"/>
    <mergeCell ref="J449:S449"/>
    <mergeCell ref="T449:Z449"/>
    <mergeCell ref="AA449:AC449"/>
    <mergeCell ref="AD449:AL449"/>
    <mergeCell ref="AM449:AN449"/>
    <mergeCell ref="AO449:AR449"/>
    <mergeCell ref="A450:I450"/>
    <mergeCell ref="J450:S450"/>
    <mergeCell ref="T450:Z450"/>
    <mergeCell ref="AA450:AC450"/>
    <mergeCell ref="AD450:AL450"/>
    <mergeCell ref="AM450:AN450"/>
    <mergeCell ref="AO450:AR450"/>
    <mergeCell ref="A451:I451"/>
    <mergeCell ref="J451:S451"/>
    <mergeCell ref="T451:Z451"/>
    <mergeCell ref="AA451:AC451"/>
    <mergeCell ref="AD451:AL451"/>
    <mergeCell ref="AM451:AN451"/>
    <mergeCell ref="AO451:AR451"/>
    <mergeCell ref="A452:I452"/>
    <mergeCell ref="J452:S452"/>
    <mergeCell ref="T452:Z452"/>
    <mergeCell ref="AA452:AC452"/>
    <mergeCell ref="AD452:AL452"/>
    <mergeCell ref="AM452:AN452"/>
    <mergeCell ref="AO452:AR452"/>
    <mergeCell ref="A453:I453"/>
    <mergeCell ref="J453:S453"/>
    <mergeCell ref="T453:Z453"/>
    <mergeCell ref="AA453:AC453"/>
    <mergeCell ref="AD453:AL453"/>
    <mergeCell ref="AM453:AN453"/>
    <mergeCell ref="AO453:AR453"/>
    <mergeCell ref="A454:AC454"/>
    <mergeCell ref="AD454:AL454"/>
    <mergeCell ref="AM454:AN454"/>
    <mergeCell ref="AO454:AR454"/>
    <mergeCell ref="A456:AR456"/>
    <mergeCell ref="A458:AL458"/>
    <mergeCell ref="AM458:AR458"/>
    <mergeCell ref="A459:I459"/>
    <mergeCell ref="J459:S459"/>
    <mergeCell ref="T459:Z459"/>
    <mergeCell ref="AA459:AC459"/>
    <mergeCell ref="AD459:AL459"/>
    <mergeCell ref="AM459:AN459"/>
    <mergeCell ref="AO459:AR459"/>
    <mergeCell ref="AU459:BA459"/>
    <mergeCell ref="BG459:BI459"/>
    <mergeCell ref="A460:S460"/>
    <mergeCell ref="T460:Z460"/>
    <mergeCell ref="AA460:AC460"/>
    <mergeCell ref="AD460:AL460"/>
    <mergeCell ref="AM460:AN460"/>
    <mergeCell ref="AO460:AR460"/>
    <mergeCell ref="AU460:BA460"/>
    <mergeCell ref="BB460:BF460"/>
    <mergeCell ref="BG460:BJ460"/>
    <mergeCell ref="A461:I461"/>
    <mergeCell ref="J461:S461"/>
    <mergeCell ref="T461:Z461"/>
    <mergeCell ref="AA461:AC461"/>
    <mergeCell ref="AD461:AL461"/>
    <mergeCell ref="AM461:AN461"/>
    <mergeCell ref="AO461:AR461"/>
    <mergeCell ref="AU461:BA461"/>
    <mergeCell ref="A462:I462"/>
    <mergeCell ref="J462:S462"/>
    <mergeCell ref="T462:Z462"/>
    <mergeCell ref="AA462:AC462"/>
    <mergeCell ref="AD462:AL462"/>
    <mergeCell ref="AM462:AN462"/>
    <mergeCell ref="AO462:AR462"/>
    <mergeCell ref="AU462:BA462"/>
    <mergeCell ref="A463:I463"/>
    <mergeCell ref="J463:S463"/>
    <mergeCell ref="T463:Z463"/>
    <mergeCell ref="AA463:AC463"/>
    <mergeCell ref="AD463:AL463"/>
    <mergeCell ref="AM463:AN463"/>
    <mergeCell ref="AO463:AR463"/>
    <mergeCell ref="AU463:BA463"/>
    <mergeCell ref="A464:I464"/>
    <mergeCell ref="J464:S464"/>
    <mergeCell ref="T464:Z464"/>
    <mergeCell ref="AA464:AC464"/>
    <mergeCell ref="AD464:AL464"/>
    <mergeCell ref="AM464:AN464"/>
    <mergeCell ref="AO464:AR464"/>
    <mergeCell ref="A465:I465"/>
    <mergeCell ref="J465:S465"/>
    <mergeCell ref="T465:Z465"/>
    <mergeCell ref="AA465:AC465"/>
    <mergeCell ref="AD465:AL465"/>
    <mergeCell ref="AM465:AN465"/>
    <mergeCell ref="AO465:AR465"/>
    <mergeCell ref="A466:I466"/>
    <mergeCell ref="J466:S466"/>
    <mergeCell ref="T466:Z466"/>
    <mergeCell ref="AA466:AC466"/>
    <mergeCell ref="AD466:AL466"/>
    <mergeCell ref="AM466:AN466"/>
    <mergeCell ref="AO466:AR466"/>
    <mergeCell ref="A467:I467"/>
    <mergeCell ref="J467:S467"/>
    <mergeCell ref="T467:Z467"/>
    <mergeCell ref="AA467:AC467"/>
    <mergeCell ref="AD467:AL467"/>
    <mergeCell ref="AM467:AN467"/>
    <mergeCell ref="AO467:AR467"/>
    <mergeCell ref="A468:I468"/>
    <mergeCell ref="J468:S468"/>
    <mergeCell ref="T468:Z468"/>
    <mergeCell ref="AA468:AC468"/>
    <mergeCell ref="AD468:AL468"/>
    <mergeCell ref="AM468:AN468"/>
    <mergeCell ref="AO468:AR468"/>
    <mergeCell ref="A469:I469"/>
    <mergeCell ref="J469:S469"/>
    <mergeCell ref="T469:Z469"/>
    <mergeCell ref="AA469:AC469"/>
    <mergeCell ref="AD469:AL469"/>
    <mergeCell ref="AM469:AN469"/>
    <mergeCell ref="AO469:AR469"/>
    <mergeCell ref="A470:I470"/>
    <mergeCell ref="J470:S470"/>
    <mergeCell ref="T470:Z470"/>
    <mergeCell ref="AA470:AC470"/>
    <mergeCell ref="AD470:AL470"/>
    <mergeCell ref="AM470:AN470"/>
    <mergeCell ref="AO470:AR470"/>
    <mergeCell ref="A471:I471"/>
    <mergeCell ref="J471:S471"/>
    <mergeCell ref="T471:Z471"/>
    <mergeCell ref="AA471:AC471"/>
    <mergeCell ref="AD471:AL471"/>
    <mergeCell ref="AM471:AN471"/>
    <mergeCell ref="AO471:AR471"/>
    <mergeCell ref="A472:I472"/>
    <mergeCell ref="J472:S472"/>
    <mergeCell ref="T472:Z472"/>
    <mergeCell ref="AA472:AC472"/>
    <mergeCell ref="AD472:AL472"/>
    <mergeCell ref="AM472:AN472"/>
    <mergeCell ref="AO472:AR472"/>
    <mergeCell ref="A473:I473"/>
    <mergeCell ref="J473:S473"/>
    <mergeCell ref="T473:Z473"/>
    <mergeCell ref="AA473:AC473"/>
    <mergeCell ref="AD473:AL473"/>
    <mergeCell ref="AM473:AN473"/>
    <mergeCell ref="AO473:AR473"/>
    <mergeCell ref="A474:I474"/>
    <mergeCell ref="J474:S474"/>
    <mergeCell ref="T474:Z474"/>
    <mergeCell ref="AA474:AC474"/>
    <mergeCell ref="AD474:AL474"/>
    <mergeCell ref="AM474:AN474"/>
    <mergeCell ref="AO474:AR474"/>
    <mergeCell ref="A475:AC475"/>
    <mergeCell ref="AD475:AL475"/>
    <mergeCell ref="AM475:AN475"/>
    <mergeCell ref="AO475:AP475"/>
    <mergeCell ref="AQ475:AR475"/>
    <mergeCell ref="A477:AN477"/>
    <mergeCell ref="A479:AD479"/>
    <mergeCell ref="AE479:AN479"/>
    <mergeCell ref="AO479:AW479"/>
    <mergeCell ref="A480:AD480"/>
    <mergeCell ref="AE480:AN480"/>
    <mergeCell ref="AO480:AW480"/>
    <mergeCell ref="AX480:AZ480"/>
    <mergeCell ref="A481:AD481"/>
    <mergeCell ref="AE481:AN481"/>
    <mergeCell ref="AO481:AW481"/>
    <mergeCell ref="A482:AD482"/>
    <mergeCell ref="AE482:AT482"/>
    <mergeCell ref="A484:AN484"/>
    <mergeCell ref="A485:K485"/>
    <mergeCell ref="M485:Y485"/>
    <mergeCell ref="AB485:AN485"/>
    <mergeCell ref="A486:E486"/>
    <mergeCell ref="F486:K486"/>
    <mergeCell ref="M486:O486"/>
    <mergeCell ref="P486:R486"/>
    <mergeCell ref="S486:U486"/>
    <mergeCell ref="V486:Y486"/>
    <mergeCell ref="AB486:AD486"/>
    <mergeCell ref="AE486:AG486"/>
    <mergeCell ref="AH486:AJ486"/>
    <mergeCell ref="AK486:AN486"/>
    <mergeCell ref="A487:E487"/>
    <mergeCell ref="F487:K487"/>
    <mergeCell ref="M487:O487"/>
    <mergeCell ref="P487:R487"/>
    <mergeCell ref="S487:U487"/>
    <mergeCell ref="V487:Y487"/>
    <mergeCell ref="AB487:AD487"/>
    <mergeCell ref="AE487:AG487"/>
    <mergeCell ref="AH487:AJ487"/>
    <mergeCell ref="AK487:AN487"/>
    <mergeCell ref="A488:E488"/>
    <mergeCell ref="F488:K488"/>
    <mergeCell ref="M488:O488"/>
    <mergeCell ref="P488:R488"/>
    <mergeCell ref="S488:U488"/>
    <mergeCell ref="V488:Y488"/>
    <mergeCell ref="AB488:AD488"/>
    <mergeCell ref="AE488:AG488"/>
    <mergeCell ref="AH488:AJ488"/>
    <mergeCell ref="AK488:AN488"/>
    <mergeCell ref="A489:E489"/>
    <mergeCell ref="F489:K489"/>
    <mergeCell ref="M489:O489"/>
    <mergeCell ref="P489:R489"/>
    <mergeCell ref="S489:U489"/>
    <mergeCell ref="V489:Y489"/>
    <mergeCell ref="AB489:AD489"/>
    <mergeCell ref="AE489:AG489"/>
    <mergeCell ref="AH489:AJ489"/>
    <mergeCell ref="AK489:AN489"/>
    <mergeCell ref="A492:AN492"/>
    <mergeCell ref="A496:E496"/>
    <mergeCell ref="G496:AN496"/>
    <mergeCell ref="A497:E497"/>
    <mergeCell ref="G497:AN497"/>
    <mergeCell ref="A498:E498"/>
    <mergeCell ref="G498:AN498"/>
    <mergeCell ref="A499:E499"/>
    <mergeCell ref="G499:AN499"/>
    <mergeCell ref="A500:E500"/>
    <mergeCell ref="G500:AN500"/>
    <mergeCell ref="A502:AN502"/>
    <mergeCell ref="A503:AN503"/>
    <mergeCell ref="A505:AN505"/>
    <mergeCell ref="A506:AN506"/>
    <mergeCell ref="A508:H508"/>
    <mergeCell ref="I508:L508"/>
    <mergeCell ref="M508:P508"/>
    <mergeCell ref="Q508:T508"/>
    <mergeCell ref="U508:X508"/>
    <mergeCell ref="Y508:AB508"/>
    <mergeCell ref="AC508:AF508"/>
    <mergeCell ref="AG508:AJ508"/>
    <mergeCell ref="AK508:AN508"/>
    <mergeCell ref="AO508:AR508"/>
    <mergeCell ref="A509:H509"/>
    <mergeCell ref="I509:L509"/>
    <mergeCell ref="M509:P509"/>
    <mergeCell ref="Q509:T509"/>
    <mergeCell ref="U509:X509"/>
    <mergeCell ref="Y509:AB509"/>
    <mergeCell ref="AC509:AF509"/>
    <mergeCell ref="AG509:AJ509"/>
    <mergeCell ref="AK509:AN509"/>
    <mergeCell ref="AO509:AR509"/>
    <mergeCell ref="A510:H510"/>
    <mergeCell ref="I510:L510"/>
    <mergeCell ref="M510:P510"/>
    <mergeCell ref="Q510:T510"/>
    <mergeCell ref="U510:X510"/>
    <mergeCell ref="Y510:AB510"/>
    <mergeCell ref="AC510:AF510"/>
    <mergeCell ref="AG510:AJ510"/>
    <mergeCell ref="AK510:AN510"/>
    <mergeCell ref="AO510:AR510"/>
    <mergeCell ref="A511:H511"/>
    <mergeCell ref="I511:L511"/>
    <mergeCell ref="M511:P511"/>
    <mergeCell ref="Q511:T511"/>
    <mergeCell ref="U511:X511"/>
    <mergeCell ref="Y511:AB511"/>
    <mergeCell ref="AC511:AF511"/>
    <mergeCell ref="AG511:AJ511"/>
    <mergeCell ref="AK511:AN511"/>
    <mergeCell ref="AO511:AR511"/>
    <mergeCell ref="A512:H512"/>
    <mergeCell ref="I512:L512"/>
    <mergeCell ref="M512:P512"/>
    <mergeCell ref="Q512:T512"/>
    <mergeCell ref="U512:X512"/>
    <mergeCell ref="Y512:AB512"/>
    <mergeCell ref="AC512:AF512"/>
    <mergeCell ref="AG512:AJ512"/>
    <mergeCell ref="AK512:AN512"/>
    <mergeCell ref="AO512:AR512"/>
    <mergeCell ref="A513:H513"/>
    <mergeCell ref="I513:L513"/>
    <mergeCell ref="M513:P513"/>
    <mergeCell ref="Q513:T513"/>
    <mergeCell ref="U513:X513"/>
    <mergeCell ref="Y513:AB513"/>
    <mergeCell ref="AC513:AF513"/>
    <mergeCell ref="AG513:AJ513"/>
    <mergeCell ref="AK513:AN513"/>
    <mergeCell ref="AO513:AR513"/>
    <mergeCell ref="A514:H514"/>
    <mergeCell ref="I514:L514"/>
    <mergeCell ref="M514:P514"/>
    <mergeCell ref="Q514:T514"/>
    <mergeCell ref="U514:X514"/>
    <mergeCell ref="Y514:AB514"/>
    <mergeCell ref="AC514:AF514"/>
    <mergeCell ref="AG514:AJ514"/>
    <mergeCell ref="AK514:AN514"/>
    <mergeCell ref="AO514:AR514"/>
    <mergeCell ref="A515:H515"/>
    <mergeCell ref="I515:L515"/>
    <mergeCell ref="M515:P515"/>
    <mergeCell ref="Q515:T515"/>
    <mergeCell ref="U515:X515"/>
    <mergeCell ref="Y515:AB515"/>
    <mergeCell ref="AC515:AF515"/>
    <mergeCell ref="AG515:AJ515"/>
    <mergeCell ref="AK515:AN515"/>
    <mergeCell ref="AO515:AR515"/>
    <mergeCell ref="A516:H516"/>
    <mergeCell ref="I516:L516"/>
    <mergeCell ref="M516:P516"/>
    <mergeCell ref="Q516:T516"/>
    <mergeCell ref="U516:X516"/>
    <mergeCell ref="Y516:AB516"/>
    <mergeCell ref="AC516:AF516"/>
    <mergeCell ref="AG516:AJ516"/>
    <mergeCell ref="AK516:AN516"/>
    <mergeCell ref="AO516:AR516"/>
    <mergeCell ref="A517:H517"/>
    <mergeCell ref="I517:L517"/>
    <mergeCell ref="M517:P517"/>
    <mergeCell ref="Q517:T517"/>
    <mergeCell ref="U517:X517"/>
    <mergeCell ref="Y517:AB517"/>
    <mergeCell ref="AC517:AF517"/>
    <mergeCell ref="AG517:AJ517"/>
    <mergeCell ref="AK517:AN517"/>
    <mergeCell ref="AO517:AR517"/>
    <mergeCell ref="A518:H518"/>
    <mergeCell ref="I518:L518"/>
    <mergeCell ref="M518:P518"/>
    <mergeCell ref="Q518:T518"/>
    <mergeCell ref="U518:X518"/>
    <mergeCell ref="Y518:AB518"/>
    <mergeCell ref="AC518:AF518"/>
    <mergeCell ref="AG518:AJ518"/>
    <mergeCell ref="AK518:AN518"/>
    <mergeCell ref="AO518:AR518"/>
    <mergeCell ref="A519:H519"/>
    <mergeCell ref="I519:L519"/>
    <mergeCell ref="M519:P519"/>
    <mergeCell ref="Q519:T519"/>
    <mergeCell ref="U519:X519"/>
    <mergeCell ref="Y519:AB519"/>
    <mergeCell ref="AC519:AF519"/>
    <mergeCell ref="AG519:AJ519"/>
    <mergeCell ref="AK519:AN519"/>
    <mergeCell ref="AO519:AR519"/>
    <mergeCell ref="A521:H521"/>
    <mergeCell ref="I521:P521"/>
    <mergeCell ref="Q521:AI521"/>
    <mergeCell ref="A523:AN523"/>
    <mergeCell ref="A525:AO525"/>
    <mergeCell ref="A527:J527"/>
    <mergeCell ref="K527:AO527"/>
    <mergeCell ref="A528:J528"/>
    <mergeCell ref="K528:AO528"/>
    <mergeCell ref="A529:J529"/>
    <mergeCell ref="K529:AO529"/>
    <mergeCell ref="A530:J530"/>
    <mergeCell ref="K530:AO530"/>
    <mergeCell ref="A533:AN533"/>
    <mergeCell ref="A534:AN535"/>
    <mergeCell ref="A537:J537"/>
    <mergeCell ref="K537:Q537"/>
    <mergeCell ref="R537:AN537"/>
    <mergeCell ref="A538:J538"/>
    <mergeCell ref="K538:Q538"/>
    <mergeCell ref="R538:AN538"/>
    <mergeCell ref="A539:J539"/>
    <mergeCell ref="K539:Q539"/>
    <mergeCell ref="R539:AN539"/>
    <mergeCell ref="A540:J540"/>
    <mergeCell ref="K540:Q540"/>
    <mergeCell ref="R540:AN540"/>
    <mergeCell ref="A541:J541"/>
    <mergeCell ref="K541:Q541"/>
    <mergeCell ref="R541:AN541"/>
    <mergeCell ref="A542:J542"/>
    <mergeCell ref="K542:Q542"/>
    <mergeCell ref="R542:AN542"/>
    <mergeCell ref="A543:J543"/>
    <mergeCell ref="K543:Q543"/>
    <mergeCell ref="R543:AN543"/>
    <mergeCell ref="A546:AN546"/>
    <mergeCell ref="A548:AN548"/>
    <mergeCell ref="A550:J550"/>
    <mergeCell ref="K550:S550"/>
    <mergeCell ref="T550:AA550"/>
    <mergeCell ref="AB550:AN550"/>
    <mergeCell ref="A551:J551"/>
    <mergeCell ref="K551:S551"/>
    <mergeCell ref="T551:AA551"/>
    <mergeCell ref="AB551:AN551"/>
    <mergeCell ref="A552:J552"/>
    <mergeCell ref="K552:S552"/>
    <mergeCell ref="T552:AA552"/>
    <mergeCell ref="AB552:AN552"/>
    <mergeCell ref="A553:J553"/>
    <mergeCell ref="K553:S553"/>
    <mergeCell ref="T553:AA553"/>
    <mergeCell ref="AB553:AN553"/>
    <mergeCell ref="A554:J554"/>
    <mergeCell ref="K554:S554"/>
    <mergeCell ref="T554:AA554"/>
    <mergeCell ref="AB554:AN554"/>
    <mergeCell ref="A555:J555"/>
    <mergeCell ref="K555:S555"/>
    <mergeCell ref="T555:AA555"/>
    <mergeCell ref="AB555:AN555"/>
    <mergeCell ref="A558:AN558"/>
    <mergeCell ref="A559:AN559"/>
    <mergeCell ref="A562:AO562"/>
    <mergeCell ref="A563:AO566"/>
    <mergeCell ref="A568:AO568"/>
    <mergeCell ref="A569:AO573"/>
    <mergeCell ref="A575:AO575"/>
    <mergeCell ref="A576:AO580"/>
    <mergeCell ref="A582:AO582"/>
    <mergeCell ref="A583:AO587"/>
    <mergeCell ref="A589:AO589"/>
    <mergeCell ref="A590:AO594"/>
    <mergeCell ref="A596:AO596"/>
    <mergeCell ref="A597:AO597"/>
    <mergeCell ref="A598:AO598"/>
    <mergeCell ref="A599:AO599"/>
    <mergeCell ref="A600:AO600"/>
    <mergeCell ref="A601:AO601"/>
    <mergeCell ref="A602:AO602"/>
    <mergeCell ref="A603:AO603"/>
    <mergeCell ref="A604:AO604"/>
    <mergeCell ref="A605:AO605"/>
    <mergeCell ref="A606:AO606"/>
  </mergeCells>
  <conditionalFormatting sqref="AS492">
    <cfRule type="cellIs" priority="2" operator="equal" aboveAverage="0" equalAverage="0" bottom="0" percent="0" rank="0" text="" dxfId="0">
      <formula>"""MONTO SOLICITADO NO CORRESPONDE LINEA CREAR IND"""</formula>
    </cfRule>
  </conditionalFormatting>
  <conditionalFormatting sqref="AO479">
    <cfRule type="expression" priority="3" aboveAverage="0" equalAverage="0" bottom="0" percent="0" rank="0" text="" dxfId="1">
      <formula>NOT(ISERROR(SEARCH("No cumple # integrantes",AO479)))</formula>
    </cfRule>
  </conditionalFormatting>
  <conditionalFormatting sqref="AO480">
    <cfRule type="expression" priority="4" aboveAverage="0" equalAverage="0" bottom="0" percent="0" rank="0" text="" dxfId="2">
      <formula>NOT(ISERROR(SEARCH("No cumple rango de recursos",AO480)))</formula>
    </cfRule>
  </conditionalFormatting>
  <conditionalFormatting sqref="AO481">
    <cfRule type="expression" priority="5" aboveAverage="0" equalAverage="0" bottom="0" percent="0" rank="0" text="" dxfId="3">
      <formula>NOT(ISERROR(SEARCH("No cumple empleos mínimos",AO481)))</formula>
    </cfRule>
  </conditionalFormatting>
  <conditionalFormatting sqref="AE482">
    <cfRule type="expression" priority="6" aboveAverage="0" equalAverage="0" bottom="0" percent="0" rank="0" text="" dxfId="4">
      <formula>NOT(ISERROR(SEARCH("No cumple empleos mínimos",AE482)))</formula>
    </cfRule>
  </conditionalFormatting>
  <conditionalFormatting sqref="AE482">
    <cfRule type="expression" priority="7" aboveAverage="0" equalAverage="0" bottom="0" percent="0" rank="0" text="" dxfId="5">
      <formula>NOT(ISERROR(SEARCH("No cumple condiciones",AE482)))</formula>
    </cfRule>
  </conditionalFormatting>
  <conditionalFormatting sqref="AE482:AT482">
    <cfRule type="expression" priority="8" aboveAverage="0" equalAverage="0" bottom="0" percent="0" rank="0" text="" dxfId="6">
      <formula>NOT(ISERROR(SEARCH("No cumple condiciones",AE482)))</formula>
    </cfRule>
  </conditionalFormatting>
  <conditionalFormatting sqref="BC461">
    <cfRule type="cellIs" priority="9" operator="greaterThan" aboveAverage="0" equalAverage="0" bottom="0" percent="0" rank="0" text="" dxfId="7">
      <formula>$BB$435</formula>
    </cfRule>
  </conditionalFormatting>
  <conditionalFormatting sqref="BC462">
    <cfRule type="cellIs" priority="10" operator="greaterThan" aboveAverage="0" equalAverage="0" bottom="0" percent="0" rank="0" text="" dxfId="8">
      <formula>$BB$436</formula>
    </cfRule>
  </conditionalFormatting>
  <conditionalFormatting sqref="BC463">
    <cfRule type="cellIs" priority="11" operator="greaterThan" aboveAverage="0" equalAverage="0" bottom="0" percent="0" rank="0" text="" dxfId="9">
      <formula>$BB$437</formula>
    </cfRule>
  </conditionalFormatting>
  <conditionalFormatting sqref="BG460">
    <cfRule type="cellIs" priority="12" operator="greaterThan" aboveAverage="0" equalAverage="0" bottom="0" percent="0" rank="0" text="" dxfId="10">
      <formula>$BB$434</formula>
    </cfRule>
  </conditionalFormatting>
  <conditionalFormatting sqref="BG461">
    <cfRule type="cellIs" priority="13" operator="greaterThan" aboveAverage="0" equalAverage="0" bottom="0" percent="0" rank="0" text="" dxfId="11">
      <formula>$BB$435</formula>
    </cfRule>
  </conditionalFormatting>
  <conditionalFormatting sqref="BG462">
    <cfRule type="cellIs" priority="14" operator="greaterThan" aboveAverage="0" equalAverage="0" bottom="0" percent="0" rank="0" text="" dxfId="12">
      <formula>$BB$436</formula>
    </cfRule>
  </conditionalFormatting>
  <conditionalFormatting sqref="BG463">
    <cfRule type="cellIs" priority="15" operator="greaterThan" aboveAverage="0" equalAverage="0" bottom="0" percent="0" rank="0" text="" dxfId="13">
      <formula>$BB$437</formula>
    </cfRule>
  </conditionalFormatting>
  <conditionalFormatting sqref="BE435:BG435">
    <cfRule type="cellIs" priority="16" operator="greaterThan" aboveAverage="0" equalAverage="0" bottom="0" percent="0" rank="0" text="" dxfId="14">
      <formula>$BB$435</formula>
    </cfRule>
  </conditionalFormatting>
  <conditionalFormatting sqref="BE434:BG434">
    <cfRule type="cellIs" priority="17" operator="greaterThan" aboveAverage="0" equalAverage="0" bottom="0" percent="0" rank="0" text="" dxfId="15">
      <formula>$BB$434</formula>
    </cfRule>
  </conditionalFormatting>
  <conditionalFormatting sqref="BE436:BG436">
    <cfRule type="cellIs" priority="18" operator="greaterThan" aboveAverage="0" equalAverage="0" bottom="0" percent="0" rank="0" text="" dxfId="16">
      <formula>$BB$436</formula>
    </cfRule>
  </conditionalFormatting>
  <conditionalFormatting sqref="BE437:BG437">
    <cfRule type="cellIs" priority="19" operator="greaterThan" aboveAverage="0" equalAverage="0" bottom="0" percent="0" rank="0" text="" dxfId="17">
      <formula>$BB$437</formula>
    </cfRule>
  </conditionalFormatting>
  <dataValidations count="15">
    <dataValidation allowBlank="true" errorStyle="stop" operator="between" showDropDown="false" showErrorMessage="true" showInputMessage="false" sqref="AC19:AO20" type="list">
      <formula1>INDIRECT($T$19)</formula1>
      <formula2>0</formula2>
    </dataValidation>
    <dataValidation allowBlank="true" errorStyle="stop" operator="between" showDropDown="false" showErrorMessage="true" showInputMessage="false" sqref="T19:Z20" type="list">
      <formula1>DEPARTAMENTOS</formula1>
      <formula2>0</formula2>
    </dataValidation>
    <dataValidation allowBlank="true" errorStyle="stop" operator="between" showDropDown="false" showErrorMessage="true" showInputMessage="false" sqref="R30:T30" type="list">
      <formula1>$AV$28:$AV$29</formula1>
      <formula2>0</formula2>
    </dataValidation>
    <dataValidation allowBlank="true" errorStyle="stop" operator="between" showDropDown="false" showErrorMessage="true" showInputMessage="false" sqref="T15:Z16" type="list">
      <formula1>$BN$12:$BN$13</formula1>
      <formula2>0</formula2>
    </dataValidation>
    <dataValidation allowBlank="true" errorStyle="stop" operator="between" showDropDown="false" showErrorMessage="true" showInputMessage="false" sqref="Z25" type="list">
      <formula1>INDIRECT($L25)</formula1>
      <formula2>0</formula2>
    </dataValidation>
    <dataValidation allowBlank="true" errorStyle="stop" operator="between" showDropDown="false" showErrorMessage="true" showInputMessage="false" sqref="B25:J26" type="list">
      <formula1>TIPO_PN</formula1>
      <formula2>0</formula2>
    </dataValidation>
    <dataValidation allowBlank="true" errorStyle="stop" operator="between" showDropDown="false" showErrorMessage="true" showInputMessage="false" sqref="L25:X26" type="list">
      <formula1>INDIRECT(B25)</formula1>
      <formula2>0</formula2>
    </dataValidation>
    <dataValidation allowBlank="true" errorStyle="stop" operator="between" showDropDown="false" showErrorMessage="true" showInputMessage="false" sqref="AH414:AJ423" type="list">
      <formula1>$BM$12:$BM$13</formula1>
      <formula2>0</formula2>
    </dataValidation>
    <dataValidation allowBlank="true" errorStyle="stop" operator="between" prompt=" - " showDropDown="false" showErrorMessage="true" showInputMessage="true" sqref="G414:L423" type="list">
      <formula1>$BM$28:$BM$33</formula1>
      <formula2>0</formula2>
    </dataValidation>
    <dataValidation allowBlank="true" errorStyle="stop" operator="between" showDropDown="false" showErrorMessage="true" showInputMessage="false" sqref="M28:T28" type="list">
      <formula1>"Individual,Asociativo"</formula1>
      <formula2>0</formula2>
    </dataValidation>
    <dataValidation allowBlank="true" errorStyle="stop" operator="between" showDropDown="false" showErrorMessage="true" showInputMessage="false" sqref="O153:W153 O170:W170 O187:W187" type="list">
      <formula1>"1,2,3,4,5,6,7,8,9,10,11,12,13,14,15,16,17,18,19,20,21,22,23,24"</formula1>
      <formula2>0</formula2>
    </dataValidation>
    <dataValidation allowBlank="true" errorStyle="stop" operator="between" showDropDown="false" showErrorMessage="true" showInputMessage="false" sqref="A434:I453 A461:I474" type="list">
      <formula1>$A$763:$A$771</formula1>
      <formula2>0</formula2>
    </dataValidation>
    <dataValidation allowBlank="true" errorStyle="stop" operator="between" showDropDown="false" showErrorMessage="true" showInputMessage="false" sqref="X153:AE153 X170:AE170 X187:AE187" type="list">
      <formula1>"1,2,3,4,5,6,7,8,9,10,11,12,13,14,15,16,17,18,19,20,21,22,23,24,26,27,28,29,30"</formula1>
      <formula2>0</formula2>
    </dataValidation>
    <dataValidation allowBlank="false" errorStyle="stop" operator="between" showDropDown="false" showErrorMessage="true" showInputMessage="false" sqref="S195:U201" type="custom">
      <formula1>OR(B15&lt;&gt;"X",COUNTIF($B$15:$B$21,"X")=1)</formula1>
      <formula2>0</formula2>
    </dataValidation>
    <dataValidation allowBlank="true" errorStyle="stop" operator="between" showDropDown="false" showErrorMessage="true" showInputMessage="false" sqref="T9:AO9" type="list">
      <formula1>$C$780:$C$821</formula1>
      <formula2>0</formula2>
    </dataValidation>
  </dataValidations>
  <hyperlinks>
    <hyperlink ref="A503" r:id="rId1" display="www.ai4u.com.co"/>
  </hyperlinks>
  <printOptions headings="false" gridLines="false" gridLinesSet="true" horizontalCentered="false" verticalCentered="false"/>
  <pageMargins left="0.118055555555556" right="0.118055555555556" top="0.157638888888889" bottom="0.157638888888889"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3" activeCellId="0" sqref="A13"/>
    </sheetView>
  </sheetViews>
  <sheetFormatPr defaultColWidth="22.56640625" defaultRowHeight="18.75" zeroHeight="false" outlineLevelRow="0" outlineLevelCol="0"/>
  <cols>
    <col collapsed="false" customWidth="true" hidden="false" outlineLevel="0" max="1" min="1" style="312" width="47.85"/>
    <col collapsed="false" customWidth="true" hidden="false" outlineLevel="0" max="6" min="2" style="313" width="27.42"/>
    <col collapsed="false" customWidth="false" hidden="false" outlineLevel="0" max="7" min="7" style="313" width="22.56"/>
    <col collapsed="false" customWidth="true" hidden="false" outlineLevel="0" max="9" min="8" style="313" width="12.42"/>
    <col collapsed="false" customWidth="false" hidden="false" outlineLevel="0" max="257" min="10" style="313" width="22.56"/>
  </cols>
  <sheetData>
    <row r="1" customFormat="false" ht="18.75" hidden="false" customHeight="false" outlineLevel="0" collapsed="false">
      <c r="A1" s="314" t="s">
        <v>2082</v>
      </c>
      <c r="B1" s="315" t="n">
        <v>1750905</v>
      </c>
      <c r="E1" s="316"/>
      <c r="F1" s="316"/>
      <c r="G1" s="316"/>
    </row>
    <row r="3" customFormat="false" ht="17.45" hidden="false" customHeight="true" outlineLevel="0" collapsed="false">
      <c r="A3" s="317" t="s">
        <v>1672</v>
      </c>
      <c r="B3" s="317"/>
      <c r="C3" s="317"/>
      <c r="D3" s="317"/>
      <c r="E3" s="317"/>
      <c r="F3" s="318"/>
    </row>
    <row r="4" customFormat="false" ht="37.5" hidden="false" customHeight="false" outlineLevel="0" collapsed="false">
      <c r="A4" s="319" t="s">
        <v>2083</v>
      </c>
      <c r="B4" s="320" t="s">
        <v>2084</v>
      </c>
      <c r="C4" s="320" t="s">
        <v>2085</v>
      </c>
      <c r="D4" s="320" t="s">
        <v>2086</v>
      </c>
      <c r="E4" s="320" t="s">
        <v>2087</v>
      </c>
      <c r="F4" s="321"/>
      <c r="H4" s="320" t="s">
        <v>2088</v>
      </c>
      <c r="I4" s="320" t="s">
        <v>2089</v>
      </c>
    </row>
    <row r="5" customFormat="false" ht="18.75" hidden="false" customHeight="false" outlineLevel="0" collapsed="false">
      <c r="A5" s="322" t="n">
        <v>1</v>
      </c>
      <c r="B5" s="323" t="n">
        <v>1</v>
      </c>
      <c r="C5" s="315" t="n">
        <v>0</v>
      </c>
      <c r="D5" s="315" t="n">
        <v>73538010</v>
      </c>
      <c r="E5" s="323" t="n">
        <v>1</v>
      </c>
      <c r="F5" s="324"/>
      <c r="H5" s="323" t="n">
        <v>0</v>
      </c>
      <c r="I5" s="323" t="n">
        <v>42</v>
      </c>
    </row>
    <row r="6" customFormat="false" ht="18.75" hidden="false" customHeight="false" outlineLevel="0" collapsed="false">
      <c r="A6" s="322" t="n">
        <v>1</v>
      </c>
      <c r="B6" s="323" t="n">
        <v>1</v>
      </c>
      <c r="C6" s="315" t="n">
        <v>75288915</v>
      </c>
      <c r="D6" s="315" t="n">
        <v>98050680</v>
      </c>
      <c r="E6" s="323" t="n">
        <v>3</v>
      </c>
      <c r="F6" s="324"/>
      <c r="H6" s="323" t="n">
        <v>43</v>
      </c>
      <c r="I6" s="323" t="n">
        <v>56</v>
      </c>
    </row>
    <row r="7" customFormat="false" ht="18.75" hidden="false" customHeight="false" outlineLevel="0" collapsed="false">
      <c r="A7" s="322" t="n">
        <v>1</v>
      </c>
      <c r="B7" s="323" t="n">
        <v>1</v>
      </c>
      <c r="C7" s="315" t="n">
        <v>99801585</v>
      </c>
      <c r="D7" s="315" t="n">
        <v>122563350</v>
      </c>
      <c r="E7" s="323" t="n">
        <v>5</v>
      </c>
      <c r="F7" s="324"/>
      <c r="H7" s="323" t="n">
        <v>57</v>
      </c>
      <c r="I7" s="323" t="n">
        <v>70</v>
      </c>
    </row>
    <row r="8" customFormat="false" ht="18.75" hidden="false" customHeight="false" outlineLevel="0" collapsed="false">
      <c r="A8" s="325"/>
      <c r="B8" s="326"/>
      <c r="C8" s="326"/>
      <c r="D8" s="326"/>
      <c r="E8" s="326"/>
      <c r="F8" s="326"/>
    </row>
    <row r="9" customFormat="false" ht="17.45" hidden="false" customHeight="true" outlineLevel="0" collapsed="false">
      <c r="A9" s="317" t="s">
        <v>2090</v>
      </c>
      <c r="B9" s="317"/>
      <c r="C9" s="317"/>
      <c r="D9" s="317"/>
      <c r="E9" s="317"/>
      <c r="F9" s="318"/>
    </row>
    <row r="10" customFormat="false" ht="37.5" hidden="false" customHeight="false" outlineLevel="0" collapsed="false">
      <c r="A10" s="319" t="s">
        <v>2091</v>
      </c>
      <c r="B10" s="320" t="s">
        <v>2092</v>
      </c>
      <c r="C10" s="320" t="s">
        <v>2085</v>
      </c>
      <c r="D10" s="320" t="s">
        <v>2086</v>
      </c>
      <c r="E10" s="320" t="s">
        <v>2087</v>
      </c>
      <c r="F10" s="321"/>
      <c r="H10" s="320" t="s">
        <v>2088</v>
      </c>
      <c r="I10" s="320" t="s">
        <v>2089</v>
      </c>
    </row>
    <row r="11" customFormat="false" ht="18.75" hidden="false" customHeight="false" outlineLevel="0" collapsed="false">
      <c r="A11" s="322" t="n">
        <v>5</v>
      </c>
      <c r="B11" s="323" t="n">
        <v>9</v>
      </c>
      <c r="C11" s="315" t="n">
        <v>350181000</v>
      </c>
      <c r="D11" s="315" t="n">
        <v>523520595</v>
      </c>
      <c r="E11" s="323" t="n">
        <v>7</v>
      </c>
      <c r="F11" s="324"/>
      <c r="H11" s="323" t="n">
        <v>200</v>
      </c>
      <c r="I11" s="323" t="n">
        <v>299</v>
      </c>
    </row>
    <row r="12" customFormat="false" ht="18.75" hidden="false" customHeight="false" outlineLevel="0" collapsed="false">
      <c r="A12" s="322" t="n">
        <v>10</v>
      </c>
      <c r="B12" s="323" t="n">
        <v>14</v>
      </c>
      <c r="C12" s="315" t="n">
        <v>525271500</v>
      </c>
      <c r="D12" s="315" t="n">
        <v>698611095</v>
      </c>
      <c r="E12" s="323" t="n">
        <v>8</v>
      </c>
      <c r="F12" s="324"/>
      <c r="H12" s="323" t="n">
        <v>300</v>
      </c>
      <c r="I12" s="323" t="n">
        <v>399</v>
      </c>
    </row>
    <row r="13" customFormat="false" ht="18.75" hidden="false" customHeight="false" outlineLevel="0" collapsed="false">
      <c r="A13" s="322" t="n">
        <v>15</v>
      </c>
      <c r="B13" s="323" t="n">
        <v>9999</v>
      </c>
      <c r="C13" s="315" t="n">
        <v>700362000</v>
      </c>
      <c r="D13" s="315" t="n">
        <v>875452500</v>
      </c>
      <c r="E13" s="323" t="n">
        <v>10</v>
      </c>
      <c r="F13" s="324"/>
      <c r="H13" s="323" t="n">
        <v>400</v>
      </c>
      <c r="I13" s="323" t="n">
        <v>500</v>
      </c>
    </row>
    <row r="14" customFormat="false" ht="18.75" hidden="false" customHeight="false" outlineLevel="0" collapsed="false">
      <c r="A14" s="322" t="n">
        <v>20</v>
      </c>
      <c r="B14" s="323" t="n">
        <v>20</v>
      </c>
      <c r="C14" s="315" t="n">
        <v>700362000</v>
      </c>
      <c r="D14" s="315" t="n">
        <v>1050543000</v>
      </c>
      <c r="E14" s="323" t="n">
        <v>7</v>
      </c>
      <c r="F14" s="324"/>
      <c r="H14" s="323" t="n">
        <v>400</v>
      </c>
      <c r="I14" s="323" t="n">
        <v>600</v>
      </c>
    </row>
    <row r="15" customFormat="false" ht="18.75" hidden="false" customHeight="false" outlineLevel="0" collapsed="false">
      <c r="A15" s="322" t="n">
        <v>21</v>
      </c>
      <c r="B15" s="323" t="n">
        <v>26</v>
      </c>
      <c r="C15" s="315" t="n">
        <v>1050543000</v>
      </c>
      <c r="D15" s="315" t="n">
        <v>1575814500</v>
      </c>
      <c r="E15" s="323" t="n">
        <v>8</v>
      </c>
      <c r="F15" s="324"/>
      <c r="H15" s="323" t="n">
        <v>600</v>
      </c>
      <c r="I15" s="323" t="n">
        <v>900</v>
      </c>
    </row>
    <row r="16" customFormat="false" ht="18.75" hidden="false" customHeight="false" outlineLevel="0" collapsed="false">
      <c r="A16" s="322" t="n">
        <v>27</v>
      </c>
      <c r="B16" s="323" t="n">
        <v>9999</v>
      </c>
      <c r="C16" s="315" t="n">
        <v>1575814500</v>
      </c>
      <c r="D16" s="315" t="n">
        <v>1925995500</v>
      </c>
      <c r="E16" s="323" t="n">
        <v>10</v>
      </c>
      <c r="F16" s="324"/>
      <c r="H16" s="323" t="n">
        <v>900</v>
      </c>
      <c r="I16" s="323" t="n">
        <v>1100</v>
      </c>
    </row>
    <row r="18" customFormat="false" ht="18.75" hidden="false" customHeight="false" outlineLevel="0" collapsed="false">
      <c r="A18" s="327" t="s">
        <v>2093</v>
      </c>
      <c r="B18" s="323" t="str">
        <f aca="false">+Proyecto!M28</f>
        <v>Individual</v>
      </c>
    </row>
    <row r="20" customFormat="false" ht="18.75" hidden="false" customHeight="false" outlineLevel="0" collapsed="false">
      <c r="A20" s="327" t="s">
        <v>2094</v>
      </c>
      <c r="B20" s="328" t="n">
        <f aca="false">+Proyecto!AE479</f>
        <v>1</v>
      </c>
      <c r="C20" s="329" t="s">
        <v>2095</v>
      </c>
      <c r="D20" s="315" t="n">
        <f aca="false">+Proyecto!AE480</f>
        <v>75115200</v>
      </c>
      <c r="E20" s="330" t="s">
        <v>2096</v>
      </c>
      <c r="F20" s="331" t="n">
        <f aca="false">+Proyecto!AE481</f>
        <v>3</v>
      </c>
    </row>
    <row r="21" customFormat="false" ht="31.5" hidden="false" customHeight="true" outlineLevel="0" collapsed="false">
      <c r="A21" s="327" t="s">
        <v>2097</v>
      </c>
      <c r="B21" s="323" t="str">
        <f aca="false" t="array" ref="B21:B21">IF(B18="Individual",IF(AND(B20&gt;=A5,B20&lt;=B5),"Cumple integrantes permitidos","No cumple # integrantes permitidos"),IF(SUMPRODUCT((B20&gt;=A11:A16)*(B20&lt;=B11:B16))&gt;0,"Cumple integrantes permitidos","No cumple # integrantes permitidos"))</f>
        <v>Cumple integrantes permitidos</v>
      </c>
      <c r="C21" s="329" t="s">
        <v>2098</v>
      </c>
      <c r="D21" s="323" t="str">
        <f aca="false" t="array" ref="D21:D21">IF(B18="Individual",IF(AND(B20&gt;=A5,B20&lt;=B5,D20&gt;=C5,D20&lt;=D5),"Cumple recursos para el número de integrantes registrados","No cumple rango de recursos para el número de integrantes registrados"),IF(SUMPRODUCT((B20&gt;=A11:A16)*(B20&lt;=B11:B16)*(D20&gt;=C11:C16)*(D20&lt;=D11:D16))&gt;0,"Cumple recursos para el número de integrantes registrados","No cumple rango de recursos para el número de integrantes registrados"))</f>
        <v>No cumple rango de recursos para el número de integrantes registrados</v>
      </c>
      <c r="E21" s="330" t="s">
        <v>2099</v>
      </c>
      <c r="F21" s="323" t="str">
        <f aca="false" t="array" ref="F21:F21">IF(B18="Individual",IF(AND(B20&gt;=A5,B20&lt;=B5,F20&gt;=E5),"Cumple empleos a generar","No cumple empleos mínimos requeridos para el número de integrantes"),IF(SUMPRODUCT((B20&gt;=A11:A16)*(B20&lt;=B11:B16)*(F20&gt;=E11:E16))&gt;0,"Cumple empleos a generar","No cumple empleos mínimos requeridos"))</f>
        <v>Cumple empleos a generar</v>
      </c>
    </row>
    <row r="23" customFormat="false" ht="51" hidden="false" customHeight="true" outlineLevel="0" collapsed="false">
      <c r="A23" s="332" t="s">
        <v>2100</v>
      </c>
      <c r="B23" s="323" t="str">
        <f aca="false" t="array" ref="B23:B23">IF(B18="Individual",IF(AND(B20&gt;=A5,B20&lt;=B5,D20&gt;=C5,D20&lt;=D5,F20&gt;=E5),"Cumple","No cumple condiciones para la postulación"),IF(SUMPRODUCT((B20&gt;=A11:A16)*(B20&lt;=B11:B16)*(D20&gt;=C11:C16)*(D20&lt;=D11:D16)*(F20&gt;=E11:E16))&gt;0,"Cumple","No cumple condiciones para la postulación"))</f>
        <v>No cumple condiciones para la postulación</v>
      </c>
    </row>
    <row r="25" customFormat="false" ht="21" hidden="false" customHeight="true" outlineLevel="0" collapsed="false"/>
    <row r="33" customFormat="false" ht="18.75" hidden="false" customHeight="false" outlineLevel="0" collapsed="false">
      <c r="B33" s="313" t="e">
        <f aca="false" t="array" ref="B33:B33">IF(B18="Individual",IF(AND(B20&gt;=INDEX(A5:A7,#REF!),B20&lt;=INDEX(B5:B7,#REF!),D20&gt;=INDEX(C5:C7,#REF!),D20&lt;=INDEX(D5:D7,#REF!),#REF!&gt;=INDEX(E5:E7,#REF!)),"Cumple condición de empleos,montos y recursos","No cumple condiciones"),IF(AND(B20&gt;=INDEX(A11:A16,#REF!),B20&lt;=INDEX(B11:B16,#REF!),D20&gt;=INDEX(C11:C16,#REF!),D20&lt;=INDEX(D11:D16,#REF!),#REF!&gt;=INDEX(E11:E16,#REF!)),"Cumple condición de empleos,montos y recursos","No cumple B21,D21 y F21"))</f>
        <v>#REF!</v>
      </c>
    </row>
    <row r="36" customFormat="false" ht="18.75" hidden="false" customHeight="false" outlineLevel="0" collapsed="false">
      <c r="A36" s="311" t="s">
        <v>2039</v>
      </c>
    </row>
    <row r="37" customFormat="false" ht="37.5" hidden="false" customHeight="false" outlineLevel="0" collapsed="false">
      <c r="A37" s="312" t="s">
        <v>1933</v>
      </c>
    </row>
    <row r="38" customFormat="false" ht="18.75" hidden="false" customHeight="false" outlineLevel="0" collapsed="false">
      <c r="A38" s="312" t="s">
        <v>1934</v>
      </c>
    </row>
    <row r="39" customFormat="false" ht="19.5" hidden="false" customHeight="true" outlineLevel="0" collapsed="false">
      <c r="A39" s="312" t="s">
        <v>1930</v>
      </c>
    </row>
    <row r="40" customFormat="false" ht="17.45" hidden="false" customHeight="true" outlineLevel="0" collapsed="false">
      <c r="A40" s="312" t="s">
        <v>2040</v>
      </c>
    </row>
    <row r="41" customFormat="false" ht="37.5" hidden="false" customHeight="false" outlineLevel="0" collapsed="false">
      <c r="A41" s="312" t="s">
        <v>1932</v>
      </c>
    </row>
    <row r="42" customFormat="false" ht="15.95" hidden="false" customHeight="true" outlineLevel="0" collapsed="false">
      <c r="A42" s="312" t="s">
        <v>1944</v>
      </c>
    </row>
    <row r="43" customFormat="false" ht="15.95" hidden="false" customHeight="true" outlineLevel="0" collapsed="false">
      <c r="A43" s="312" t="s">
        <v>1942</v>
      </c>
    </row>
    <row r="44" customFormat="false" ht="18.75" hidden="false" customHeight="false" outlineLevel="0" collapsed="false">
      <c r="A44" s="312" t="s">
        <v>2041</v>
      </c>
    </row>
    <row r="45" customFormat="false" ht="37.5" hidden="false" customHeight="false" outlineLevel="0" collapsed="false">
      <c r="A45" s="312" t="s">
        <v>1935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false"/>
  </sheetPr>
  <dimension ref="B1:AP116"/>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selection pane="topLeft" activeCell="C10" activeCellId="0" sqref="C10"/>
    </sheetView>
  </sheetViews>
  <sheetFormatPr defaultColWidth="11.421875" defaultRowHeight="19.5" zeroHeight="false" outlineLevelRow="0" outlineLevelCol="0"/>
  <cols>
    <col collapsed="false" customWidth="true" hidden="false" outlineLevel="0" max="1" min="1" style="333" width="2.56"/>
    <col collapsed="false" customWidth="true" hidden="false" outlineLevel="0" max="2" min="2" style="333" width="6.99"/>
    <col collapsed="false" customWidth="true" hidden="false" outlineLevel="0" max="3" min="3" style="333" width="48.99"/>
    <col collapsed="false" customWidth="true" hidden="false" outlineLevel="0" max="4" min="4" style="333" width="15.42"/>
    <col collapsed="false" customWidth="true" hidden="false" outlineLevel="0" max="5" min="5" style="334" width="22.13"/>
    <col collapsed="false" customWidth="true" hidden="false" outlineLevel="0" max="6" min="6" style="333" width="23.14"/>
    <col collapsed="false" customWidth="true" hidden="false" outlineLevel="0" max="7" min="7" style="333" width="15.42"/>
    <col collapsed="false" customWidth="true" hidden="false" outlineLevel="0" max="8" min="8" style="333" width="35.56"/>
    <col collapsed="false" customWidth="true" hidden="false" outlineLevel="0" max="9" min="9" style="333" width="18.99"/>
    <col collapsed="false" customWidth="true" hidden="false" outlineLevel="0" max="10" min="10" style="333" width="10.42"/>
    <col collapsed="false" customWidth="false" hidden="true" outlineLevel="0" max="11" min="11" style="333" width="11.42"/>
    <col collapsed="false" customWidth="true" hidden="false" outlineLevel="0" max="12" min="12" style="333" width="9.99"/>
    <col collapsed="false" customWidth="true" hidden="false" outlineLevel="0" max="13" min="13" style="333" width="13.56"/>
    <col collapsed="false" customWidth="true" hidden="false" outlineLevel="0" max="14" min="14" style="333" width="4.42"/>
    <col collapsed="false" customWidth="true" hidden="false" outlineLevel="0" max="15" min="15" style="333" width="20.42"/>
    <col collapsed="false" customWidth="true" hidden="false" outlineLevel="0" max="16" min="16" style="333" width="30.99"/>
    <col collapsed="false" customWidth="false" hidden="false" outlineLevel="0" max="17" min="17" style="333" width="11.42"/>
    <col collapsed="false" customWidth="false" hidden="false" outlineLevel="0" max="27" min="18" style="335" width="11.42"/>
    <col collapsed="false" customWidth="false" hidden="false" outlineLevel="0" max="32" min="28" style="336" width="11.42"/>
    <col collapsed="false" customWidth="false" hidden="false" outlineLevel="0" max="257" min="33" style="333" width="11.42"/>
  </cols>
  <sheetData>
    <row r="1" s="337" customFormat="true" ht="16.5" hidden="false" customHeight="false" outlineLevel="0" collapsed="false">
      <c r="R1" s="338"/>
      <c r="S1" s="338"/>
      <c r="T1" s="338"/>
      <c r="U1" s="338"/>
      <c r="V1" s="338"/>
      <c r="W1" s="338"/>
      <c r="X1" s="338"/>
      <c r="Y1" s="338"/>
      <c r="Z1" s="338"/>
      <c r="AA1" s="338"/>
      <c r="AB1" s="339"/>
      <c r="AC1" s="339"/>
      <c r="AD1" s="339"/>
      <c r="AE1" s="339"/>
      <c r="AF1" s="339"/>
    </row>
    <row r="2" s="337" customFormat="true" ht="39" hidden="false" customHeight="true" outlineLevel="0" collapsed="false">
      <c r="J2" s="340"/>
      <c r="K2" s="341"/>
      <c r="L2" s="341"/>
      <c r="M2" s="341"/>
      <c r="R2" s="338"/>
      <c r="S2" s="338"/>
      <c r="T2" s="338"/>
      <c r="U2" s="338"/>
      <c r="V2" s="338"/>
      <c r="W2" s="338"/>
      <c r="X2" s="338"/>
      <c r="Y2" s="338"/>
      <c r="Z2" s="338"/>
      <c r="AA2" s="338"/>
      <c r="AB2" s="339"/>
      <c r="AC2" s="339"/>
      <c r="AD2" s="339"/>
      <c r="AE2" s="339"/>
      <c r="AF2" s="339"/>
    </row>
    <row r="3" customFormat="false" ht="44.25" hidden="false" customHeight="true" outlineLevel="0" collapsed="false">
      <c r="E3" s="333"/>
    </row>
    <row r="4" customFormat="false" ht="45.75" hidden="false" customHeight="true" outlineLevel="0" collapsed="false">
      <c r="C4" s="191" t="s">
        <v>1640</v>
      </c>
      <c r="D4" s="191"/>
      <c r="E4" s="191"/>
      <c r="F4" s="191"/>
      <c r="G4" s="191"/>
      <c r="H4" s="191"/>
      <c r="I4" s="191"/>
      <c r="J4" s="191"/>
      <c r="K4" s="191"/>
      <c r="L4" s="191"/>
      <c r="M4" s="191"/>
      <c r="N4" s="191"/>
      <c r="O4" s="191"/>
      <c r="P4" s="191"/>
      <c r="Q4" s="342"/>
      <c r="R4" s="342"/>
      <c r="S4" s="342"/>
      <c r="T4" s="342"/>
      <c r="U4" s="342"/>
      <c r="V4" s="342"/>
      <c r="W4" s="342"/>
      <c r="X4" s="342"/>
      <c r="Y4" s="342"/>
      <c r="Z4" s="342"/>
      <c r="AA4" s="342"/>
      <c r="AB4" s="343"/>
      <c r="AC4" s="343"/>
      <c r="AD4" s="343"/>
      <c r="AE4" s="343"/>
      <c r="AF4" s="343"/>
      <c r="AG4" s="342"/>
      <c r="AH4" s="342"/>
      <c r="AI4" s="342"/>
      <c r="AJ4" s="342"/>
      <c r="AK4" s="342"/>
      <c r="AL4" s="342"/>
      <c r="AM4" s="342"/>
      <c r="AN4" s="342"/>
      <c r="AO4" s="342"/>
      <c r="AP4" s="342"/>
    </row>
    <row r="5" customFormat="false" ht="16.5" hidden="false" customHeight="false" outlineLevel="0" collapsed="false">
      <c r="E5" s="333"/>
    </row>
    <row r="6" customFormat="false" ht="16.5" hidden="false" customHeight="false" outlineLevel="0" collapsed="false">
      <c r="E6" s="333"/>
    </row>
    <row r="7" customFormat="false" ht="33.75" hidden="false" customHeight="true" outlineLevel="0" collapsed="false">
      <c r="C7" s="344" t="s">
        <v>2101</v>
      </c>
      <c r="D7" s="344"/>
      <c r="E7" s="344"/>
      <c r="F7" s="344"/>
      <c r="G7" s="344"/>
      <c r="H7" s="344"/>
      <c r="I7" s="344"/>
      <c r="J7" s="344"/>
      <c r="K7" s="344"/>
      <c r="L7" s="344"/>
      <c r="M7" s="344"/>
      <c r="N7" s="344"/>
      <c r="O7" s="344"/>
      <c r="P7" s="344"/>
    </row>
    <row r="8" customFormat="false" ht="33.75" hidden="false" customHeight="true" outlineLevel="0" collapsed="false">
      <c r="C8" s="345"/>
      <c r="D8" s="345"/>
      <c r="E8" s="345"/>
      <c r="F8" s="345"/>
      <c r="G8" s="345"/>
      <c r="H8" s="345"/>
      <c r="I8" s="345"/>
      <c r="J8" s="345"/>
      <c r="K8" s="345"/>
      <c r="L8" s="345"/>
      <c r="M8" s="345"/>
      <c r="N8" s="345"/>
      <c r="O8" s="345"/>
      <c r="P8" s="345"/>
    </row>
    <row r="9" customFormat="false" ht="33.75" hidden="false" customHeight="true" outlineLevel="0" collapsed="false">
      <c r="C9" s="346" t="s">
        <v>2102</v>
      </c>
      <c r="D9" s="346"/>
      <c r="E9" s="346"/>
      <c r="F9" s="346"/>
      <c r="G9" s="346"/>
      <c r="H9" s="346"/>
      <c r="I9" s="346"/>
      <c r="J9" s="346"/>
      <c r="K9" s="346"/>
      <c r="L9" s="346"/>
      <c r="M9" s="346"/>
      <c r="N9" s="346"/>
      <c r="O9" s="346"/>
      <c r="P9" s="346"/>
    </row>
    <row r="10" customFormat="false" ht="409.5" hidden="false" customHeight="true" outlineLevel="0" collapsed="false">
      <c r="C10" s="347" t="s">
        <v>2103</v>
      </c>
      <c r="D10" s="347"/>
      <c r="E10" s="347"/>
      <c r="F10" s="347"/>
      <c r="G10" s="347"/>
      <c r="H10" s="347"/>
      <c r="I10" s="347"/>
      <c r="J10" s="347"/>
      <c r="K10" s="347"/>
      <c r="L10" s="347"/>
      <c r="M10" s="345"/>
      <c r="N10" s="345"/>
      <c r="O10" s="345"/>
      <c r="P10" s="345"/>
    </row>
    <row r="11" customFormat="false" ht="203.25" hidden="false" customHeight="true" outlineLevel="0" collapsed="false">
      <c r="C11" s="347"/>
      <c r="D11" s="347"/>
      <c r="E11" s="347"/>
      <c r="F11" s="347"/>
      <c r="G11" s="347"/>
      <c r="H11" s="347"/>
      <c r="I11" s="347"/>
      <c r="J11" s="347"/>
      <c r="K11" s="347"/>
      <c r="L11" s="347"/>
      <c r="M11" s="345"/>
      <c r="N11" s="345"/>
      <c r="O11" s="345"/>
      <c r="P11" s="345"/>
    </row>
    <row r="12" customFormat="false" ht="129" hidden="false" customHeight="true" outlineLevel="0" collapsed="false">
      <c r="C12" s="348"/>
      <c r="D12" s="348"/>
      <c r="E12" s="348"/>
      <c r="F12" s="348"/>
      <c r="G12" s="348"/>
      <c r="H12" s="348"/>
      <c r="I12" s="348"/>
      <c r="J12" s="348"/>
      <c r="K12" s="348"/>
      <c r="L12" s="348"/>
      <c r="M12" s="348"/>
      <c r="N12" s="348"/>
      <c r="O12" s="348"/>
      <c r="P12" s="348"/>
    </row>
    <row r="13" customFormat="false" ht="49.5" hidden="false" customHeight="true" outlineLevel="0" collapsed="false">
      <c r="C13" s="349" t="s">
        <v>2104</v>
      </c>
      <c r="D13" s="349"/>
      <c r="E13" s="349"/>
      <c r="F13" s="349"/>
      <c r="G13" s="349"/>
      <c r="H13" s="349"/>
      <c r="I13" s="349"/>
      <c r="J13" s="349"/>
      <c r="K13" s="349"/>
      <c r="L13" s="349"/>
      <c r="M13" s="349"/>
      <c r="N13" s="349"/>
      <c r="O13" s="349"/>
      <c r="P13" s="349"/>
    </row>
    <row r="14" customFormat="false" ht="49.5" hidden="false" customHeight="true" outlineLevel="0" collapsed="false">
      <c r="B14" s="212" t="s">
        <v>2105</v>
      </c>
      <c r="C14" s="212"/>
      <c r="D14" s="212"/>
      <c r="E14" s="212"/>
      <c r="F14" s="350" t="n">
        <f aca="false">+COUNTA(P17:P116,P103)</f>
        <v>1</v>
      </c>
      <c r="G14" s="212" t="s">
        <v>2106</v>
      </c>
      <c r="H14" s="212"/>
      <c r="I14" s="212"/>
      <c r="J14" s="212"/>
      <c r="K14" s="212"/>
      <c r="L14" s="212"/>
      <c r="M14" s="212"/>
      <c r="N14" s="212"/>
      <c r="O14" s="212"/>
      <c r="P14" s="212"/>
    </row>
    <row r="15" customFormat="false" ht="82.5" hidden="false" customHeight="true" outlineLevel="0" collapsed="false">
      <c r="B15" s="351" t="s">
        <v>2107</v>
      </c>
      <c r="C15" s="351"/>
      <c r="D15" s="351"/>
      <c r="E15" s="351"/>
      <c r="F15" s="351"/>
      <c r="G15" s="351"/>
      <c r="H15" s="351"/>
      <c r="I15" s="351"/>
      <c r="J15" s="351"/>
      <c r="K15" s="351"/>
      <c r="L15" s="351"/>
      <c r="M15" s="351"/>
      <c r="N15" s="351"/>
      <c r="O15" s="351"/>
      <c r="P15" s="351"/>
    </row>
    <row r="16" customFormat="false" ht="93" hidden="false" customHeight="true" outlineLevel="0" collapsed="false">
      <c r="B16" s="352" t="s">
        <v>2108</v>
      </c>
      <c r="C16" s="353" t="s">
        <v>2109</v>
      </c>
      <c r="D16" s="354" t="s">
        <v>2110</v>
      </c>
      <c r="E16" s="353" t="s">
        <v>2111</v>
      </c>
      <c r="F16" s="353" t="s">
        <v>2112</v>
      </c>
      <c r="G16" s="355" t="s">
        <v>2113</v>
      </c>
      <c r="H16" s="353" t="s">
        <v>2114</v>
      </c>
      <c r="I16" s="353" t="s">
        <v>2115</v>
      </c>
      <c r="J16" s="353" t="s">
        <v>2116</v>
      </c>
      <c r="K16" s="353"/>
      <c r="L16" s="356" t="s">
        <v>2117</v>
      </c>
      <c r="M16" s="356"/>
      <c r="N16" s="356"/>
      <c r="O16" s="353" t="s">
        <v>2118</v>
      </c>
      <c r="P16" s="353" t="s">
        <v>2119</v>
      </c>
    </row>
    <row r="17" customFormat="false" ht="69.95" hidden="false" customHeight="true" outlineLevel="0" collapsed="false">
      <c r="B17" s="353" t="n">
        <v>1</v>
      </c>
      <c r="C17" s="357" t="s">
        <v>1650</v>
      </c>
      <c r="D17" s="357" t="s">
        <v>1642</v>
      </c>
      <c r="E17" s="358" t="n">
        <v>8026979</v>
      </c>
      <c r="F17" s="357" t="s">
        <v>1914</v>
      </c>
      <c r="G17" s="359" t="n">
        <v>1</v>
      </c>
      <c r="H17" s="359" t="s">
        <v>1663</v>
      </c>
      <c r="I17" s="357" t="s">
        <v>1654</v>
      </c>
      <c r="J17" s="357" t="n">
        <v>41</v>
      </c>
      <c r="K17" s="357"/>
      <c r="L17" s="357" t="s">
        <v>2120</v>
      </c>
      <c r="M17" s="357"/>
      <c r="N17" s="357"/>
      <c r="O17" s="360" t="n">
        <v>3218175744</v>
      </c>
      <c r="P17" s="361" t="n">
        <v>4000000</v>
      </c>
      <c r="R17" s="338" t="s">
        <v>2121</v>
      </c>
      <c r="S17" s="338"/>
      <c r="T17" s="338" t="s">
        <v>2122</v>
      </c>
      <c r="U17" s="338"/>
      <c r="V17" s="338" t="s">
        <v>2123</v>
      </c>
      <c r="W17" s="338"/>
      <c r="X17" s="338" t="s">
        <v>2117</v>
      </c>
    </row>
    <row r="18" customFormat="false" ht="69.95" hidden="false" customHeight="true" outlineLevel="0" collapsed="false">
      <c r="B18" s="353" t="n">
        <v>2</v>
      </c>
      <c r="C18" s="357"/>
      <c r="D18" s="357"/>
      <c r="E18" s="358"/>
      <c r="F18" s="357"/>
      <c r="G18" s="359"/>
      <c r="H18" s="359"/>
      <c r="I18" s="357"/>
      <c r="J18" s="357"/>
      <c r="K18" s="357"/>
      <c r="L18" s="357"/>
      <c r="M18" s="357"/>
      <c r="N18" s="357"/>
      <c r="O18" s="360"/>
      <c r="P18" s="361"/>
      <c r="R18" s="362" t="s">
        <v>1642</v>
      </c>
      <c r="S18" s="45"/>
      <c r="T18" s="362" t="s">
        <v>1663</v>
      </c>
      <c r="U18" s="45"/>
      <c r="V18" s="362" t="s">
        <v>1652</v>
      </c>
      <c r="W18" s="45"/>
      <c r="X18" s="335" t="s">
        <v>1653</v>
      </c>
    </row>
    <row r="19" customFormat="false" ht="69.95" hidden="false" customHeight="true" outlineLevel="0" collapsed="false">
      <c r="B19" s="353" t="n">
        <v>3</v>
      </c>
      <c r="C19" s="357"/>
      <c r="D19" s="357"/>
      <c r="E19" s="358"/>
      <c r="F19" s="357"/>
      <c r="G19" s="359"/>
      <c r="H19" s="359"/>
      <c r="I19" s="357"/>
      <c r="J19" s="357"/>
      <c r="K19" s="357"/>
      <c r="L19" s="357"/>
      <c r="M19" s="357"/>
      <c r="N19" s="357"/>
      <c r="O19" s="360"/>
      <c r="P19" s="361"/>
      <c r="R19" s="362"/>
      <c r="S19" s="45"/>
      <c r="T19" s="362"/>
      <c r="U19" s="45"/>
      <c r="V19" s="362"/>
      <c r="W19" s="45"/>
    </row>
    <row r="20" customFormat="false" ht="69.95" hidden="false" customHeight="true" outlineLevel="0" collapsed="false">
      <c r="B20" s="353" t="n">
        <v>4</v>
      </c>
      <c r="C20" s="357"/>
      <c r="D20" s="357"/>
      <c r="E20" s="358"/>
      <c r="F20" s="357"/>
      <c r="G20" s="359"/>
      <c r="H20" s="359"/>
      <c r="I20" s="357"/>
      <c r="J20" s="357"/>
      <c r="K20" s="357"/>
      <c r="L20" s="357"/>
      <c r="M20" s="357"/>
      <c r="N20" s="357"/>
      <c r="O20" s="360"/>
      <c r="P20" s="361"/>
      <c r="R20" s="362"/>
      <c r="S20" s="45"/>
      <c r="T20" s="362"/>
      <c r="U20" s="45"/>
      <c r="V20" s="362"/>
      <c r="W20" s="45"/>
    </row>
    <row r="21" customFormat="false" ht="69.95" hidden="false" customHeight="true" outlineLevel="0" collapsed="false">
      <c r="B21" s="353" t="n">
        <v>5</v>
      </c>
      <c r="C21" s="357"/>
      <c r="D21" s="357"/>
      <c r="E21" s="358"/>
      <c r="F21" s="357"/>
      <c r="G21" s="359"/>
      <c r="H21" s="359"/>
      <c r="I21" s="357"/>
      <c r="J21" s="357"/>
      <c r="K21" s="357"/>
      <c r="L21" s="357"/>
      <c r="M21" s="357"/>
      <c r="N21" s="357"/>
      <c r="O21" s="360"/>
      <c r="P21" s="361"/>
      <c r="R21" s="362"/>
      <c r="S21" s="45"/>
      <c r="T21" s="362"/>
      <c r="U21" s="45"/>
      <c r="V21" s="362"/>
      <c r="W21" s="45"/>
    </row>
    <row r="22" customFormat="false" ht="69.95" hidden="false" customHeight="true" outlineLevel="0" collapsed="false">
      <c r="B22" s="353" t="n">
        <v>6</v>
      </c>
      <c r="C22" s="357"/>
      <c r="D22" s="357"/>
      <c r="E22" s="358"/>
      <c r="F22" s="357"/>
      <c r="G22" s="359"/>
      <c r="H22" s="359"/>
      <c r="I22" s="357"/>
      <c r="J22" s="357"/>
      <c r="K22" s="357"/>
      <c r="L22" s="357"/>
      <c r="M22" s="357"/>
      <c r="N22" s="357"/>
      <c r="O22" s="360"/>
      <c r="P22" s="361"/>
      <c r="R22" s="362"/>
      <c r="S22" s="45"/>
      <c r="T22" s="362"/>
      <c r="U22" s="45"/>
      <c r="V22" s="362"/>
      <c r="W22" s="45"/>
    </row>
    <row r="23" customFormat="false" ht="69.95" hidden="false" customHeight="true" outlineLevel="0" collapsed="false">
      <c r="B23" s="353" t="n">
        <v>7</v>
      </c>
      <c r="C23" s="357"/>
      <c r="D23" s="357"/>
      <c r="E23" s="358"/>
      <c r="F23" s="357"/>
      <c r="G23" s="359"/>
      <c r="H23" s="359"/>
      <c r="I23" s="357"/>
      <c r="J23" s="357"/>
      <c r="K23" s="357"/>
      <c r="L23" s="357"/>
      <c r="M23" s="357"/>
      <c r="N23" s="357"/>
      <c r="O23" s="360"/>
      <c r="P23" s="361"/>
      <c r="R23" s="362"/>
      <c r="S23" s="45"/>
      <c r="T23" s="362"/>
      <c r="U23" s="45"/>
      <c r="V23" s="362"/>
      <c r="W23" s="45"/>
    </row>
    <row r="24" customFormat="false" ht="69.95" hidden="false" customHeight="true" outlineLevel="0" collapsed="false">
      <c r="B24" s="353" t="n">
        <v>8</v>
      </c>
      <c r="C24" s="357"/>
      <c r="D24" s="357"/>
      <c r="E24" s="358"/>
      <c r="F24" s="357"/>
      <c r="G24" s="359"/>
      <c r="H24" s="359"/>
      <c r="I24" s="357"/>
      <c r="J24" s="357"/>
      <c r="K24" s="357"/>
      <c r="L24" s="357"/>
      <c r="M24" s="357"/>
      <c r="N24" s="357"/>
      <c r="O24" s="360"/>
      <c r="P24" s="361"/>
      <c r="R24" s="362"/>
      <c r="S24" s="45"/>
      <c r="T24" s="362"/>
      <c r="U24" s="45"/>
      <c r="V24" s="362"/>
      <c r="W24" s="45"/>
    </row>
    <row r="25" customFormat="false" ht="69.95" hidden="false" customHeight="true" outlineLevel="0" collapsed="false">
      <c r="B25" s="353" t="n">
        <v>9</v>
      </c>
      <c r="C25" s="357"/>
      <c r="D25" s="357"/>
      <c r="E25" s="358"/>
      <c r="F25" s="357"/>
      <c r="G25" s="359"/>
      <c r="H25" s="359"/>
      <c r="I25" s="357"/>
      <c r="J25" s="357"/>
      <c r="K25" s="357"/>
      <c r="L25" s="357"/>
      <c r="M25" s="357"/>
      <c r="N25" s="357"/>
      <c r="O25" s="360"/>
      <c r="P25" s="361"/>
      <c r="R25" s="362"/>
      <c r="S25" s="45"/>
      <c r="T25" s="362"/>
      <c r="U25" s="45"/>
      <c r="V25" s="362"/>
      <c r="W25" s="45"/>
    </row>
    <row r="26" customFormat="false" ht="69.95" hidden="false" customHeight="true" outlineLevel="0" collapsed="false">
      <c r="B26" s="353" t="n">
        <v>10</v>
      </c>
      <c r="C26" s="357"/>
      <c r="D26" s="357"/>
      <c r="E26" s="358"/>
      <c r="F26" s="357"/>
      <c r="G26" s="359"/>
      <c r="H26" s="359"/>
      <c r="I26" s="357"/>
      <c r="J26" s="357"/>
      <c r="K26" s="357"/>
      <c r="L26" s="357"/>
      <c r="M26" s="357"/>
      <c r="N26" s="357"/>
      <c r="O26" s="360"/>
      <c r="P26" s="361"/>
      <c r="R26" s="362"/>
      <c r="S26" s="45"/>
      <c r="T26" s="362"/>
      <c r="U26" s="45"/>
      <c r="V26" s="362"/>
      <c r="W26" s="45"/>
    </row>
    <row r="27" customFormat="false" ht="69.95" hidden="false" customHeight="true" outlineLevel="0" collapsed="false">
      <c r="B27" s="353" t="n">
        <v>11</v>
      </c>
      <c r="C27" s="357"/>
      <c r="D27" s="357"/>
      <c r="E27" s="358"/>
      <c r="F27" s="357"/>
      <c r="G27" s="359"/>
      <c r="H27" s="359"/>
      <c r="I27" s="357"/>
      <c r="J27" s="357"/>
      <c r="K27" s="357"/>
      <c r="L27" s="357"/>
      <c r="M27" s="357"/>
      <c r="N27" s="357"/>
      <c r="O27" s="360"/>
      <c r="P27" s="361"/>
      <c r="R27" s="362"/>
      <c r="S27" s="45"/>
      <c r="T27" s="362"/>
      <c r="U27" s="45"/>
      <c r="V27" s="362"/>
      <c r="W27" s="45"/>
    </row>
    <row r="28" customFormat="false" ht="69.95" hidden="false" customHeight="true" outlineLevel="0" collapsed="false">
      <c r="B28" s="353" t="n">
        <v>12</v>
      </c>
      <c r="C28" s="357"/>
      <c r="D28" s="357"/>
      <c r="E28" s="358"/>
      <c r="F28" s="357"/>
      <c r="G28" s="359"/>
      <c r="H28" s="359"/>
      <c r="I28" s="357"/>
      <c r="J28" s="357"/>
      <c r="K28" s="357"/>
      <c r="L28" s="357"/>
      <c r="M28" s="357"/>
      <c r="N28" s="357"/>
      <c r="O28" s="360"/>
      <c r="P28" s="361"/>
      <c r="R28" s="362"/>
      <c r="S28" s="45"/>
      <c r="T28" s="362"/>
      <c r="U28" s="45"/>
      <c r="V28" s="362"/>
      <c r="W28" s="45"/>
    </row>
    <row r="29" customFormat="false" ht="69.95" hidden="false" customHeight="true" outlineLevel="0" collapsed="false">
      <c r="B29" s="353" t="n">
        <v>13</v>
      </c>
      <c r="C29" s="357"/>
      <c r="D29" s="357"/>
      <c r="E29" s="358"/>
      <c r="F29" s="357"/>
      <c r="G29" s="359"/>
      <c r="H29" s="359"/>
      <c r="I29" s="357"/>
      <c r="J29" s="357"/>
      <c r="K29" s="357"/>
      <c r="L29" s="357"/>
      <c r="M29" s="357"/>
      <c r="N29" s="357"/>
      <c r="O29" s="360"/>
      <c r="P29" s="361"/>
      <c r="R29" s="362"/>
      <c r="S29" s="45"/>
      <c r="T29" s="362"/>
      <c r="U29" s="45"/>
      <c r="V29" s="362"/>
      <c r="W29" s="45"/>
    </row>
    <row r="30" customFormat="false" ht="69.95" hidden="false" customHeight="true" outlineLevel="0" collapsed="false">
      <c r="B30" s="353" t="n">
        <v>14</v>
      </c>
      <c r="C30" s="357"/>
      <c r="D30" s="357"/>
      <c r="E30" s="358"/>
      <c r="F30" s="357"/>
      <c r="G30" s="359"/>
      <c r="H30" s="359"/>
      <c r="I30" s="357"/>
      <c r="J30" s="357"/>
      <c r="K30" s="357"/>
      <c r="L30" s="357"/>
      <c r="M30" s="357"/>
      <c r="N30" s="357"/>
      <c r="O30" s="360"/>
      <c r="P30" s="361"/>
      <c r="R30" s="362"/>
      <c r="S30" s="45"/>
      <c r="T30" s="362"/>
      <c r="U30" s="45"/>
      <c r="V30" s="362"/>
      <c r="W30" s="45"/>
    </row>
    <row r="31" customFormat="false" ht="69.95" hidden="false" customHeight="true" outlineLevel="0" collapsed="false">
      <c r="B31" s="353" t="n">
        <v>15</v>
      </c>
      <c r="C31" s="357"/>
      <c r="D31" s="357"/>
      <c r="E31" s="358"/>
      <c r="F31" s="357"/>
      <c r="G31" s="359"/>
      <c r="H31" s="359"/>
      <c r="I31" s="357"/>
      <c r="J31" s="357"/>
      <c r="K31" s="357"/>
      <c r="L31" s="357"/>
      <c r="M31" s="357"/>
      <c r="N31" s="357"/>
      <c r="O31" s="360"/>
      <c r="P31" s="361"/>
      <c r="R31" s="362"/>
      <c r="S31" s="45"/>
      <c r="T31" s="362"/>
      <c r="U31" s="45"/>
      <c r="V31" s="362"/>
      <c r="W31" s="45"/>
    </row>
    <row r="32" customFormat="false" ht="69.95" hidden="false" customHeight="true" outlineLevel="0" collapsed="false">
      <c r="B32" s="353" t="n">
        <v>16</v>
      </c>
      <c r="C32" s="357"/>
      <c r="D32" s="357"/>
      <c r="E32" s="358"/>
      <c r="F32" s="357"/>
      <c r="G32" s="359"/>
      <c r="H32" s="359"/>
      <c r="I32" s="357"/>
      <c r="J32" s="357"/>
      <c r="K32" s="357"/>
      <c r="L32" s="357"/>
      <c r="M32" s="357"/>
      <c r="N32" s="357"/>
      <c r="O32" s="360"/>
      <c r="P32" s="361"/>
      <c r="R32" s="362"/>
      <c r="S32" s="45"/>
      <c r="T32" s="362"/>
      <c r="U32" s="45"/>
      <c r="V32" s="362"/>
      <c r="W32" s="45"/>
    </row>
    <row r="33" customFormat="false" ht="69.95" hidden="false" customHeight="true" outlineLevel="0" collapsed="false">
      <c r="B33" s="353" t="n">
        <v>17</v>
      </c>
      <c r="C33" s="357"/>
      <c r="D33" s="357"/>
      <c r="E33" s="358"/>
      <c r="F33" s="357"/>
      <c r="G33" s="359"/>
      <c r="H33" s="359"/>
      <c r="I33" s="357"/>
      <c r="J33" s="357"/>
      <c r="K33" s="357"/>
      <c r="L33" s="357"/>
      <c r="M33" s="357"/>
      <c r="N33" s="357"/>
      <c r="O33" s="360"/>
      <c r="P33" s="361"/>
      <c r="R33" s="362"/>
      <c r="S33" s="45"/>
      <c r="T33" s="362"/>
      <c r="U33" s="45"/>
      <c r="V33" s="362"/>
      <c r="W33" s="45"/>
    </row>
    <row r="34" customFormat="false" ht="69.95" hidden="false" customHeight="true" outlineLevel="0" collapsed="false">
      <c r="B34" s="353" t="n">
        <v>18</v>
      </c>
      <c r="C34" s="357"/>
      <c r="D34" s="357"/>
      <c r="E34" s="358"/>
      <c r="F34" s="357"/>
      <c r="G34" s="359"/>
      <c r="H34" s="359"/>
      <c r="I34" s="357"/>
      <c r="J34" s="357"/>
      <c r="K34" s="357"/>
      <c r="L34" s="357"/>
      <c r="M34" s="357"/>
      <c r="N34" s="357"/>
      <c r="O34" s="360"/>
      <c r="P34" s="361"/>
      <c r="R34" s="362"/>
      <c r="S34" s="45"/>
      <c r="T34" s="362"/>
      <c r="U34" s="45"/>
      <c r="V34" s="362"/>
      <c r="W34" s="45"/>
    </row>
    <row r="35" customFormat="false" ht="69.95" hidden="false" customHeight="true" outlineLevel="0" collapsed="false">
      <c r="B35" s="353" t="n">
        <v>19</v>
      </c>
      <c r="C35" s="357"/>
      <c r="D35" s="357"/>
      <c r="E35" s="358"/>
      <c r="F35" s="357"/>
      <c r="G35" s="359"/>
      <c r="H35" s="359"/>
      <c r="I35" s="357"/>
      <c r="J35" s="357"/>
      <c r="K35" s="357"/>
      <c r="L35" s="357"/>
      <c r="M35" s="357"/>
      <c r="N35" s="357"/>
      <c r="O35" s="360"/>
      <c r="P35" s="361"/>
      <c r="R35" s="362"/>
      <c r="S35" s="45"/>
      <c r="T35" s="362"/>
      <c r="U35" s="45"/>
      <c r="V35" s="362"/>
      <c r="W35" s="45"/>
    </row>
    <row r="36" customFormat="false" ht="69.95" hidden="false" customHeight="true" outlineLevel="0" collapsed="false">
      <c r="B36" s="353" t="n">
        <v>20</v>
      </c>
      <c r="C36" s="357"/>
      <c r="D36" s="357"/>
      <c r="E36" s="358"/>
      <c r="F36" s="357"/>
      <c r="G36" s="359"/>
      <c r="H36" s="359"/>
      <c r="I36" s="357"/>
      <c r="J36" s="357"/>
      <c r="K36" s="357"/>
      <c r="L36" s="357"/>
      <c r="M36" s="357"/>
      <c r="N36" s="357"/>
      <c r="O36" s="360"/>
      <c r="P36" s="361"/>
      <c r="R36" s="362"/>
      <c r="S36" s="45"/>
      <c r="T36" s="362"/>
      <c r="U36" s="45"/>
      <c r="V36" s="362"/>
      <c r="W36" s="45"/>
    </row>
    <row r="37" customFormat="false" ht="69.95" hidden="false" customHeight="true" outlineLevel="0" collapsed="false">
      <c r="B37" s="353" t="n">
        <v>21</v>
      </c>
      <c r="C37" s="357"/>
      <c r="D37" s="357"/>
      <c r="E37" s="358"/>
      <c r="F37" s="357"/>
      <c r="G37" s="359"/>
      <c r="H37" s="359"/>
      <c r="I37" s="357"/>
      <c r="J37" s="357"/>
      <c r="K37" s="357"/>
      <c r="L37" s="357"/>
      <c r="M37" s="357"/>
      <c r="N37" s="357"/>
      <c r="O37" s="360"/>
      <c r="P37" s="361"/>
      <c r="R37" s="362"/>
      <c r="S37" s="45"/>
      <c r="T37" s="362"/>
      <c r="U37" s="45"/>
      <c r="V37" s="362"/>
      <c r="W37" s="45"/>
    </row>
    <row r="38" customFormat="false" ht="69.95" hidden="false" customHeight="true" outlineLevel="0" collapsed="false">
      <c r="B38" s="353" t="n">
        <v>22</v>
      </c>
      <c r="C38" s="357"/>
      <c r="D38" s="357"/>
      <c r="E38" s="358"/>
      <c r="F38" s="357"/>
      <c r="G38" s="359"/>
      <c r="H38" s="359"/>
      <c r="I38" s="357"/>
      <c r="J38" s="357"/>
      <c r="K38" s="357"/>
      <c r="L38" s="357"/>
      <c r="M38" s="357"/>
      <c r="N38" s="357"/>
      <c r="O38" s="360"/>
      <c r="P38" s="361"/>
      <c r="R38" s="362"/>
      <c r="S38" s="45"/>
      <c r="T38" s="362"/>
      <c r="U38" s="45"/>
      <c r="V38" s="362"/>
      <c r="W38" s="45"/>
    </row>
    <row r="39" customFormat="false" ht="69.95" hidden="false" customHeight="true" outlineLevel="0" collapsed="false">
      <c r="B39" s="353" t="n">
        <v>23</v>
      </c>
      <c r="C39" s="357"/>
      <c r="D39" s="357"/>
      <c r="E39" s="358"/>
      <c r="F39" s="357"/>
      <c r="G39" s="359"/>
      <c r="H39" s="359"/>
      <c r="I39" s="357"/>
      <c r="J39" s="357"/>
      <c r="K39" s="357"/>
      <c r="L39" s="357"/>
      <c r="M39" s="357"/>
      <c r="N39" s="357"/>
      <c r="O39" s="360"/>
      <c r="P39" s="361"/>
      <c r="R39" s="362" t="s">
        <v>1645</v>
      </c>
      <c r="S39" s="45"/>
      <c r="T39" s="362" t="s">
        <v>1665</v>
      </c>
      <c r="U39" s="45"/>
      <c r="V39" s="362" t="s">
        <v>1654</v>
      </c>
      <c r="W39" s="45"/>
      <c r="X39" s="335" t="s">
        <v>1655</v>
      </c>
    </row>
    <row r="40" customFormat="false" ht="69.95" hidden="false" customHeight="true" outlineLevel="0" collapsed="false">
      <c r="B40" s="353" t="n">
        <v>24</v>
      </c>
      <c r="C40" s="357"/>
      <c r="D40" s="357"/>
      <c r="E40" s="358"/>
      <c r="F40" s="357"/>
      <c r="G40" s="359"/>
      <c r="H40" s="359"/>
      <c r="I40" s="357"/>
      <c r="J40" s="357"/>
      <c r="K40" s="357"/>
      <c r="L40" s="357"/>
      <c r="M40" s="357"/>
      <c r="N40" s="357"/>
      <c r="O40" s="360"/>
      <c r="P40" s="361"/>
      <c r="R40" s="362"/>
      <c r="S40" s="45"/>
      <c r="T40" s="362" t="s">
        <v>2124</v>
      </c>
      <c r="U40" s="45"/>
      <c r="V40" s="362" t="s">
        <v>1659</v>
      </c>
      <c r="W40" s="45"/>
      <c r="X40" s="335" t="s">
        <v>1660</v>
      </c>
    </row>
    <row r="41" customFormat="false" ht="69.95" hidden="false" customHeight="true" outlineLevel="0" collapsed="false">
      <c r="B41" s="353" t="n">
        <v>25</v>
      </c>
      <c r="C41" s="357"/>
      <c r="D41" s="357"/>
      <c r="E41" s="358"/>
      <c r="F41" s="357"/>
      <c r="G41" s="359"/>
      <c r="H41" s="359"/>
      <c r="I41" s="357"/>
      <c r="J41" s="357"/>
      <c r="K41" s="357"/>
      <c r="L41" s="357"/>
      <c r="M41" s="357"/>
      <c r="N41" s="357"/>
      <c r="O41" s="360"/>
      <c r="P41" s="361"/>
      <c r="R41" s="362"/>
      <c r="S41" s="45"/>
      <c r="T41" s="362" t="s">
        <v>2125</v>
      </c>
      <c r="U41" s="45"/>
      <c r="V41" s="45"/>
      <c r="W41" s="45"/>
      <c r="X41" s="335" t="s">
        <v>1662</v>
      </c>
    </row>
    <row r="42" customFormat="false" ht="69.95" hidden="false" customHeight="true" outlineLevel="0" collapsed="false">
      <c r="B42" s="353" t="n">
        <v>26</v>
      </c>
      <c r="C42" s="357"/>
      <c r="D42" s="357"/>
      <c r="E42" s="358"/>
      <c r="F42" s="357"/>
      <c r="G42" s="359"/>
      <c r="H42" s="359"/>
      <c r="I42" s="357"/>
      <c r="J42" s="357"/>
      <c r="K42" s="357"/>
      <c r="L42" s="357"/>
      <c r="M42" s="357"/>
      <c r="N42" s="357"/>
      <c r="O42" s="360"/>
      <c r="P42" s="361"/>
      <c r="R42" s="45"/>
      <c r="S42" s="45"/>
      <c r="T42" s="362" t="s">
        <v>2126</v>
      </c>
      <c r="U42" s="45"/>
      <c r="V42" s="45"/>
      <c r="W42" s="45"/>
      <c r="X42" s="335" t="s">
        <v>1664</v>
      </c>
    </row>
    <row r="43" customFormat="false" ht="69.95" hidden="false" customHeight="true" outlineLevel="0" collapsed="false">
      <c r="B43" s="353" t="n">
        <v>27</v>
      </c>
      <c r="C43" s="357"/>
      <c r="D43" s="357"/>
      <c r="E43" s="358"/>
      <c r="F43" s="357"/>
      <c r="G43" s="359"/>
      <c r="H43" s="359"/>
      <c r="I43" s="357"/>
      <c r="J43" s="357"/>
      <c r="K43" s="357"/>
      <c r="L43" s="357"/>
      <c r="M43" s="357"/>
      <c r="N43" s="357"/>
      <c r="O43" s="360"/>
      <c r="P43" s="361"/>
      <c r="R43" s="45"/>
      <c r="S43" s="45"/>
      <c r="T43" s="45"/>
      <c r="U43" s="45"/>
      <c r="V43" s="45"/>
      <c r="W43" s="45"/>
      <c r="X43" s="335" t="s">
        <v>1666</v>
      </c>
    </row>
    <row r="44" customFormat="false" ht="69.95" hidden="false" customHeight="true" outlineLevel="0" collapsed="false">
      <c r="B44" s="353" t="n">
        <v>28</v>
      </c>
      <c r="C44" s="357"/>
      <c r="D44" s="357"/>
      <c r="E44" s="358"/>
      <c r="F44" s="357"/>
      <c r="G44" s="359"/>
      <c r="H44" s="359"/>
      <c r="I44" s="357"/>
      <c r="J44" s="357"/>
      <c r="K44" s="357"/>
      <c r="L44" s="357"/>
      <c r="M44" s="357"/>
      <c r="N44" s="357"/>
      <c r="O44" s="360"/>
      <c r="P44" s="361"/>
      <c r="R44" s="45"/>
      <c r="S44" s="45"/>
      <c r="T44" s="45"/>
      <c r="U44" s="45"/>
      <c r="V44" s="45"/>
      <c r="W44" s="45"/>
      <c r="X44" s="335" t="s">
        <v>2127</v>
      </c>
    </row>
    <row r="45" customFormat="false" ht="69.95" hidden="false" customHeight="true" outlineLevel="0" collapsed="false">
      <c r="B45" s="353" t="n">
        <v>29</v>
      </c>
      <c r="C45" s="357"/>
      <c r="D45" s="357"/>
      <c r="E45" s="358"/>
      <c r="F45" s="357"/>
      <c r="G45" s="359"/>
      <c r="H45" s="359"/>
      <c r="I45" s="357"/>
      <c r="J45" s="357"/>
      <c r="K45" s="357"/>
      <c r="L45" s="357"/>
      <c r="M45" s="357"/>
      <c r="N45" s="357"/>
      <c r="O45" s="360"/>
      <c r="P45" s="361"/>
      <c r="R45" s="45"/>
      <c r="S45" s="45"/>
      <c r="T45" s="45"/>
      <c r="U45" s="45"/>
      <c r="V45" s="45"/>
      <c r="W45" s="45"/>
      <c r="X45" s="335" t="s">
        <v>2128</v>
      </c>
    </row>
    <row r="46" customFormat="false" ht="69.95" hidden="false" customHeight="true" outlineLevel="0" collapsed="false">
      <c r="B46" s="353" t="n">
        <v>30</v>
      </c>
      <c r="C46" s="357"/>
      <c r="D46" s="357"/>
      <c r="E46" s="358"/>
      <c r="F46" s="357"/>
      <c r="G46" s="359"/>
      <c r="H46" s="359"/>
      <c r="I46" s="357"/>
      <c r="J46" s="357"/>
      <c r="K46" s="357"/>
      <c r="L46" s="357"/>
      <c r="M46" s="357"/>
      <c r="N46" s="357"/>
      <c r="O46" s="360"/>
      <c r="P46" s="361"/>
      <c r="R46" s="45"/>
      <c r="S46" s="45"/>
      <c r="T46" s="45"/>
      <c r="U46" s="45"/>
      <c r="V46" s="45"/>
      <c r="W46" s="45"/>
      <c r="X46" s="335" t="s">
        <v>2129</v>
      </c>
    </row>
    <row r="47" customFormat="false" ht="69.95" hidden="false" customHeight="true" outlineLevel="0" collapsed="false">
      <c r="B47" s="353" t="n">
        <v>31</v>
      </c>
      <c r="C47" s="357"/>
      <c r="D47" s="357"/>
      <c r="E47" s="358"/>
      <c r="F47" s="357"/>
      <c r="G47" s="359"/>
      <c r="H47" s="359"/>
      <c r="I47" s="357"/>
      <c r="J47" s="357"/>
      <c r="K47" s="357"/>
      <c r="L47" s="357"/>
      <c r="M47" s="357"/>
      <c r="N47" s="357"/>
      <c r="O47" s="360"/>
      <c r="P47" s="361"/>
      <c r="R47" s="45"/>
      <c r="S47" s="45"/>
      <c r="T47" s="45"/>
      <c r="U47" s="45"/>
      <c r="V47" s="45"/>
      <c r="W47" s="45"/>
      <c r="X47" s="335" t="s">
        <v>2130</v>
      </c>
    </row>
    <row r="48" customFormat="false" ht="69.95" hidden="false" customHeight="true" outlineLevel="0" collapsed="false">
      <c r="B48" s="353" t="n">
        <v>32</v>
      </c>
      <c r="C48" s="357"/>
      <c r="D48" s="357"/>
      <c r="E48" s="358"/>
      <c r="F48" s="357"/>
      <c r="G48" s="359"/>
      <c r="H48" s="359"/>
      <c r="I48" s="357"/>
      <c r="J48" s="357"/>
      <c r="K48" s="357"/>
      <c r="L48" s="357"/>
      <c r="M48" s="357"/>
      <c r="N48" s="357"/>
      <c r="O48" s="360"/>
      <c r="P48" s="361"/>
      <c r="R48" s="45"/>
      <c r="S48" s="45"/>
      <c r="T48" s="45"/>
      <c r="U48" s="45"/>
      <c r="V48" s="45"/>
      <c r="W48" s="45"/>
      <c r="X48" s="335" t="s">
        <v>2120</v>
      </c>
    </row>
    <row r="49" customFormat="false" ht="69.95" hidden="false" customHeight="true" outlineLevel="0" collapsed="false">
      <c r="B49" s="353" t="n">
        <v>33</v>
      </c>
      <c r="C49" s="357"/>
      <c r="D49" s="357"/>
      <c r="E49" s="358"/>
      <c r="F49" s="357"/>
      <c r="G49" s="359"/>
      <c r="H49" s="359"/>
      <c r="I49" s="357"/>
      <c r="J49" s="357"/>
      <c r="K49" s="357"/>
      <c r="L49" s="357"/>
      <c r="M49" s="357"/>
      <c r="N49" s="357"/>
      <c r="O49" s="360"/>
      <c r="P49" s="361"/>
      <c r="R49" s="45"/>
      <c r="S49" s="45"/>
      <c r="T49" s="45"/>
      <c r="U49" s="45"/>
      <c r="V49" s="45"/>
      <c r="W49" s="45"/>
      <c r="X49" s="335" t="s">
        <v>1674</v>
      </c>
    </row>
    <row r="50" customFormat="false" ht="69.95" hidden="false" customHeight="true" outlineLevel="0" collapsed="false">
      <c r="B50" s="353" t="n">
        <v>34</v>
      </c>
      <c r="C50" s="357"/>
      <c r="D50" s="357"/>
      <c r="E50" s="358"/>
      <c r="F50" s="357"/>
      <c r="G50" s="359"/>
      <c r="H50" s="359"/>
      <c r="I50" s="357"/>
      <c r="J50" s="357"/>
      <c r="K50" s="357"/>
      <c r="L50" s="357"/>
      <c r="M50" s="357"/>
      <c r="N50" s="357"/>
      <c r="O50" s="360"/>
      <c r="P50" s="361"/>
      <c r="R50" s="45"/>
      <c r="S50" s="45"/>
      <c r="T50" s="45"/>
      <c r="U50" s="45"/>
      <c r="V50" s="45"/>
      <c r="W50" s="45"/>
      <c r="X50" s="335" t="s">
        <v>1676</v>
      </c>
    </row>
    <row r="51" customFormat="false" ht="69.95" hidden="false" customHeight="true" outlineLevel="0" collapsed="false">
      <c r="B51" s="353" t="n">
        <v>35</v>
      </c>
      <c r="C51" s="357"/>
      <c r="D51" s="357"/>
      <c r="E51" s="358"/>
      <c r="F51" s="357"/>
      <c r="G51" s="359"/>
      <c r="H51" s="359"/>
      <c r="I51" s="357"/>
      <c r="J51" s="357"/>
      <c r="K51" s="357"/>
      <c r="L51" s="357"/>
      <c r="M51" s="357"/>
      <c r="N51" s="357"/>
      <c r="O51" s="360"/>
      <c r="P51" s="361"/>
      <c r="R51" s="45"/>
      <c r="S51" s="45"/>
      <c r="T51" s="45"/>
      <c r="U51" s="45"/>
      <c r="V51" s="45"/>
      <c r="W51" s="45"/>
      <c r="X51" s="335" t="s">
        <v>1679</v>
      </c>
    </row>
    <row r="52" customFormat="false" ht="69.95" hidden="false" customHeight="true" outlineLevel="0" collapsed="false">
      <c r="B52" s="353" t="n">
        <v>36</v>
      </c>
      <c r="C52" s="357"/>
      <c r="D52" s="357"/>
      <c r="E52" s="358"/>
      <c r="F52" s="357"/>
      <c r="G52" s="359"/>
      <c r="H52" s="359"/>
      <c r="I52" s="357"/>
      <c r="J52" s="357"/>
      <c r="K52" s="357"/>
      <c r="L52" s="357"/>
      <c r="M52" s="357"/>
      <c r="N52" s="357"/>
      <c r="O52" s="360"/>
      <c r="P52" s="361"/>
      <c r="R52" s="45"/>
      <c r="S52" s="45"/>
      <c r="T52" s="45"/>
      <c r="U52" s="45"/>
      <c r="V52" s="45"/>
      <c r="W52" s="45"/>
      <c r="X52" s="335" t="s">
        <v>1681</v>
      </c>
    </row>
    <row r="53" customFormat="false" ht="69.95" hidden="false" customHeight="true" outlineLevel="0" collapsed="false">
      <c r="B53" s="353" t="n">
        <v>37</v>
      </c>
      <c r="C53" s="357"/>
      <c r="D53" s="357"/>
      <c r="E53" s="358"/>
      <c r="F53" s="357"/>
      <c r="G53" s="359"/>
      <c r="H53" s="359"/>
      <c r="I53" s="357"/>
      <c r="J53" s="357"/>
      <c r="K53" s="357"/>
      <c r="L53" s="357"/>
      <c r="M53" s="357"/>
      <c r="N53" s="357"/>
      <c r="O53" s="360"/>
      <c r="P53" s="361"/>
      <c r="R53" s="45"/>
      <c r="S53" s="45"/>
      <c r="T53" s="45"/>
      <c r="U53" s="45"/>
      <c r="V53" s="45"/>
      <c r="W53" s="45"/>
      <c r="X53" s="335" t="s">
        <v>1684</v>
      </c>
    </row>
    <row r="54" customFormat="false" ht="69.95" hidden="false" customHeight="true" outlineLevel="0" collapsed="false">
      <c r="B54" s="353" t="n">
        <v>38</v>
      </c>
      <c r="C54" s="357"/>
      <c r="D54" s="357"/>
      <c r="E54" s="358"/>
      <c r="F54" s="357"/>
      <c r="G54" s="359"/>
      <c r="H54" s="359"/>
      <c r="I54" s="357"/>
      <c r="J54" s="357"/>
      <c r="K54" s="357"/>
      <c r="L54" s="357"/>
      <c r="M54" s="357"/>
      <c r="N54" s="357"/>
      <c r="O54" s="360"/>
      <c r="P54" s="361"/>
      <c r="R54" s="45"/>
      <c r="S54" s="45"/>
      <c r="T54" s="45"/>
      <c r="U54" s="45"/>
      <c r="V54" s="45"/>
      <c r="W54" s="45"/>
      <c r="X54" s="335" t="s">
        <v>1687</v>
      </c>
    </row>
    <row r="55" customFormat="false" ht="69.95" hidden="false" customHeight="true" outlineLevel="0" collapsed="false">
      <c r="B55" s="353" t="n">
        <v>39</v>
      </c>
      <c r="C55" s="357"/>
      <c r="D55" s="357"/>
      <c r="E55" s="358"/>
      <c r="F55" s="357"/>
      <c r="G55" s="359"/>
      <c r="H55" s="359"/>
      <c r="I55" s="357"/>
      <c r="J55" s="357"/>
      <c r="K55" s="357"/>
      <c r="L55" s="357"/>
      <c r="M55" s="357"/>
      <c r="N55" s="357"/>
      <c r="O55" s="360"/>
      <c r="P55" s="361"/>
      <c r="R55" s="45"/>
      <c r="S55" s="45"/>
      <c r="T55" s="45"/>
      <c r="U55" s="45"/>
      <c r="V55" s="45"/>
      <c r="W55" s="45"/>
      <c r="X55" s="335" t="s">
        <v>1688</v>
      </c>
    </row>
    <row r="56" customFormat="false" ht="69.95" hidden="false" customHeight="true" outlineLevel="0" collapsed="false">
      <c r="B56" s="353" t="n">
        <v>40</v>
      </c>
      <c r="C56" s="357"/>
      <c r="D56" s="357"/>
      <c r="E56" s="358"/>
      <c r="F56" s="357"/>
      <c r="G56" s="359"/>
      <c r="H56" s="359"/>
      <c r="I56" s="357"/>
      <c r="J56" s="357"/>
      <c r="K56" s="357"/>
      <c r="L56" s="357"/>
      <c r="M56" s="357"/>
      <c r="N56" s="357"/>
      <c r="O56" s="360"/>
      <c r="P56" s="361"/>
      <c r="R56" s="45"/>
      <c r="S56" s="45"/>
      <c r="T56" s="45"/>
      <c r="U56" s="45"/>
      <c r="V56" s="45"/>
      <c r="W56" s="45"/>
      <c r="X56" s="335" t="s">
        <v>1689</v>
      </c>
    </row>
    <row r="57" customFormat="false" ht="69.95" hidden="false" customHeight="true" outlineLevel="0" collapsed="false">
      <c r="B57" s="353" t="n">
        <v>41</v>
      </c>
      <c r="C57" s="357"/>
      <c r="D57" s="357"/>
      <c r="E57" s="358"/>
      <c r="F57" s="357"/>
      <c r="G57" s="359"/>
      <c r="H57" s="359"/>
      <c r="I57" s="357"/>
      <c r="J57" s="357"/>
      <c r="K57" s="357"/>
      <c r="L57" s="357"/>
      <c r="M57" s="357"/>
      <c r="N57" s="357"/>
      <c r="O57" s="360"/>
      <c r="P57" s="361"/>
      <c r="R57" s="45"/>
      <c r="S57" s="45"/>
      <c r="T57" s="45"/>
      <c r="U57" s="45"/>
      <c r="V57" s="45"/>
      <c r="W57" s="45"/>
      <c r="X57" s="335" t="s">
        <v>1690</v>
      </c>
    </row>
    <row r="58" customFormat="false" ht="69.95" hidden="false" customHeight="true" outlineLevel="0" collapsed="false">
      <c r="B58" s="353" t="n">
        <v>42</v>
      </c>
      <c r="C58" s="357"/>
      <c r="D58" s="357"/>
      <c r="E58" s="358"/>
      <c r="F58" s="357"/>
      <c r="G58" s="359"/>
      <c r="H58" s="359"/>
      <c r="I58" s="357"/>
      <c r="J58" s="357"/>
      <c r="K58" s="357"/>
      <c r="L58" s="357"/>
      <c r="M58" s="357"/>
      <c r="N58" s="357"/>
      <c r="O58" s="360"/>
      <c r="P58" s="361"/>
      <c r="R58" s="45"/>
      <c r="S58" s="45"/>
      <c r="T58" s="45"/>
      <c r="U58" s="45"/>
      <c r="V58" s="45"/>
      <c r="W58" s="45"/>
      <c r="X58" s="335" t="s">
        <v>1691</v>
      </c>
    </row>
    <row r="59" customFormat="false" ht="69.95" hidden="false" customHeight="true" outlineLevel="0" collapsed="false">
      <c r="B59" s="353" t="n">
        <v>43</v>
      </c>
      <c r="C59" s="357"/>
      <c r="D59" s="357"/>
      <c r="E59" s="358"/>
      <c r="F59" s="357"/>
      <c r="G59" s="359"/>
      <c r="H59" s="359"/>
      <c r="I59" s="357"/>
      <c r="J59" s="357"/>
      <c r="K59" s="357"/>
      <c r="L59" s="357"/>
      <c r="M59" s="357"/>
      <c r="N59" s="357"/>
      <c r="O59" s="360"/>
      <c r="P59" s="361"/>
      <c r="R59" s="45"/>
      <c r="S59" s="45"/>
      <c r="T59" s="45"/>
      <c r="U59" s="45"/>
      <c r="V59" s="45"/>
      <c r="W59" s="45"/>
      <c r="X59" s="335" t="s">
        <v>1692</v>
      </c>
    </row>
    <row r="60" customFormat="false" ht="69.95" hidden="false" customHeight="true" outlineLevel="0" collapsed="false">
      <c r="B60" s="353" t="n">
        <v>44</v>
      </c>
      <c r="C60" s="357"/>
      <c r="D60" s="357"/>
      <c r="E60" s="358"/>
      <c r="F60" s="357"/>
      <c r="G60" s="359"/>
      <c r="H60" s="359"/>
      <c r="I60" s="357"/>
      <c r="J60" s="357"/>
      <c r="K60" s="357"/>
      <c r="L60" s="357"/>
      <c r="M60" s="357"/>
      <c r="N60" s="357"/>
      <c r="O60" s="360"/>
      <c r="P60" s="361"/>
      <c r="R60" s="45"/>
      <c r="S60" s="45"/>
      <c r="T60" s="45"/>
      <c r="U60" s="45"/>
      <c r="V60" s="45"/>
      <c r="W60" s="45"/>
      <c r="X60" s="335" t="s">
        <v>1693</v>
      </c>
    </row>
    <row r="61" customFormat="false" ht="69.95" hidden="false" customHeight="true" outlineLevel="0" collapsed="false">
      <c r="B61" s="353" t="n">
        <v>45</v>
      </c>
      <c r="C61" s="357"/>
      <c r="D61" s="357"/>
      <c r="E61" s="358"/>
      <c r="F61" s="357"/>
      <c r="G61" s="359"/>
      <c r="H61" s="359"/>
      <c r="I61" s="357"/>
      <c r="J61" s="357"/>
      <c r="K61" s="357"/>
      <c r="L61" s="357"/>
      <c r="M61" s="357"/>
      <c r="N61" s="357"/>
      <c r="O61" s="360"/>
      <c r="P61" s="361"/>
      <c r="R61" s="45"/>
      <c r="S61" s="45"/>
      <c r="T61" s="45"/>
      <c r="U61" s="45"/>
      <c r="V61" s="45"/>
      <c r="W61" s="45"/>
      <c r="X61" s="335" t="s">
        <v>1694</v>
      </c>
    </row>
    <row r="62" customFormat="false" ht="69.95" hidden="false" customHeight="true" outlineLevel="0" collapsed="false">
      <c r="B62" s="353" t="n">
        <v>46</v>
      </c>
      <c r="C62" s="357"/>
      <c r="D62" s="357"/>
      <c r="E62" s="358"/>
      <c r="F62" s="357"/>
      <c r="G62" s="359"/>
      <c r="H62" s="359"/>
      <c r="I62" s="357"/>
      <c r="J62" s="357"/>
      <c r="K62" s="357"/>
      <c r="L62" s="357"/>
      <c r="M62" s="357"/>
      <c r="N62" s="357"/>
      <c r="O62" s="360"/>
      <c r="P62" s="361"/>
      <c r="R62" s="45"/>
      <c r="S62" s="45"/>
      <c r="T62" s="45"/>
      <c r="U62" s="45"/>
      <c r="V62" s="45"/>
      <c r="W62" s="45"/>
      <c r="X62" s="335" t="s">
        <v>1695</v>
      </c>
    </row>
    <row r="63" customFormat="false" ht="69.95" hidden="false" customHeight="true" outlineLevel="0" collapsed="false">
      <c r="B63" s="353" t="n">
        <v>47</v>
      </c>
      <c r="C63" s="357"/>
      <c r="D63" s="357"/>
      <c r="E63" s="358"/>
      <c r="F63" s="357"/>
      <c r="G63" s="359"/>
      <c r="H63" s="359"/>
      <c r="I63" s="357"/>
      <c r="J63" s="357"/>
      <c r="K63" s="357"/>
      <c r="L63" s="357"/>
      <c r="M63" s="357"/>
      <c r="N63" s="357"/>
      <c r="O63" s="360"/>
      <c r="P63" s="361"/>
      <c r="X63" s="335" t="s">
        <v>1696</v>
      </c>
    </row>
    <row r="64" customFormat="false" ht="69.95" hidden="false" customHeight="true" outlineLevel="0" collapsed="false">
      <c r="B64" s="353" t="n">
        <v>48</v>
      </c>
      <c r="C64" s="357"/>
      <c r="D64" s="357"/>
      <c r="E64" s="358"/>
      <c r="F64" s="357"/>
      <c r="G64" s="359"/>
      <c r="H64" s="359"/>
      <c r="I64" s="357"/>
      <c r="J64" s="357"/>
      <c r="K64" s="357"/>
      <c r="L64" s="357"/>
      <c r="M64" s="357"/>
      <c r="N64" s="357"/>
      <c r="O64" s="360"/>
      <c r="P64" s="361"/>
    </row>
    <row r="65" customFormat="false" ht="69.95" hidden="false" customHeight="true" outlineLevel="0" collapsed="false">
      <c r="B65" s="353" t="n">
        <v>49</v>
      </c>
      <c r="C65" s="357"/>
      <c r="D65" s="357"/>
      <c r="E65" s="358"/>
      <c r="F65" s="357"/>
      <c r="G65" s="359"/>
      <c r="H65" s="359"/>
      <c r="I65" s="357"/>
      <c r="J65" s="357"/>
      <c r="K65" s="357"/>
      <c r="L65" s="357"/>
      <c r="M65" s="357"/>
      <c r="N65" s="357"/>
      <c r="O65" s="360"/>
      <c r="P65" s="361"/>
    </row>
    <row r="66" customFormat="false" ht="69.95" hidden="false" customHeight="true" outlineLevel="0" collapsed="false">
      <c r="B66" s="353" t="n">
        <v>50</v>
      </c>
      <c r="C66" s="357"/>
      <c r="D66" s="357"/>
      <c r="E66" s="358"/>
      <c r="F66" s="357"/>
      <c r="G66" s="359"/>
      <c r="H66" s="359"/>
      <c r="I66" s="357"/>
      <c r="J66" s="357"/>
      <c r="K66" s="357"/>
      <c r="L66" s="357"/>
      <c r="M66" s="357"/>
      <c r="N66" s="357"/>
      <c r="O66" s="360"/>
      <c r="P66" s="361"/>
    </row>
    <row r="67" customFormat="false" ht="69.95" hidden="false" customHeight="true" outlineLevel="0" collapsed="false">
      <c r="B67" s="353" t="n">
        <v>51</v>
      </c>
      <c r="C67" s="357"/>
      <c r="D67" s="357"/>
      <c r="E67" s="358"/>
      <c r="F67" s="357"/>
      <c r="G67" s="359"/>
      <c r="H67" s="359"/>
      <c r="I67" s="357"/>
      <c r="J67" s="357"/>
      <c r="K67" s="357"/>
      <c r="L67" s="357"/>
      <c r="M67" s="357"/>
      <c r="N67" s="357"/>
      <c r="O67" s="360"/>
      <c r="P67" s="361"/>
    </row>
    <row r="68" customFormat="false" ht="69.95" hidden="false" customHeight="true" outlineLevel="0" collapsed="false">
      <c r="B68" s="353" t="n">
        <v>52</v>
      </c>
      <c r="C68" s="357"/>
      <c r="D68" s="357"/>
      <c r="E68" s="358"/>
      <c r="F68" s="357"/>
      <c r="G68" s="359"/>
      <c r="H68" s="359"/>
      <c r="I68" s="357"/>
      <c r="J68" s="357"/>
      <c r="K68" s="357"/>
      <c r="L68" s="357"/>
      <c r="M68" s="357"/>
      <c r="N68" s="357"/>
      <c r="O68" s="360"/>
      <c r="P68" s="361"/>
    </row>
    <row r="69" customFormat="false" ht="69.95" hidden="false" customHeight="true" outlineLevel="0" collapsed="false">
      <c r="B69" s="353" t="n">
        <v>53</v>
      </c>
      <c r="C69" s="357"/>
      <c r="D69" s="357"/>
      <c r="E69" s="358"/>
      <c r="F69" s="357"/>
      <c r="G69" s="359"/>
      <c r="H69" s="359"/>
      <c r="I69" s="357"/>
      <c r="J69" s="357"/>
      <c r="K69" s="357"/>
      <c r="L69" s="357"/>
      <c r="M69" s="357"/>
      <c r="N69" s="357"/>
      <c r="O69" s="360"/>
      <c r="P69" s="361"/>
    </row>
    <row r="70" customFormat="false" ht="69.95" hidden="false" customHeight="true" outlineLevel="0" collapsed="false">
      <c r="B70" s="353" t="n">
        <v>54</v>
      </c>
      <c r="C70" s="357"/>
      <c r="D70" s="357"/>
      <c r="E70" s="358"/>
      <c r="F70" s="357"/>
      <c r="G70" s="359"/>
      <c r="H70" s="359"/>
      <c r="I70" s="357"/>
      <c r="J70" s="357"/>
      <c r="K70" s="357"/>
      <c r="L70" s="357"/>
      <c r="M70" s="357"/>
      <c r="N70" s="357"/>
      <c r="O70" s="360"/>
      <c r="P70" s="361"/>
    </row>
    <row r="71" customFormat="false" ht="69.95" hidden="false" customHeight="true" outlineLevel="0" collapsed="false">
      <c r="B71" s="353" t="n">
        <v>55</v>
      </c>
      <c r="C71" s="357"/>
      <c r="D71" s="357"/>
      <c r="E71" s="358"/>
      <c r="F71" s="357"/>
      <c r="G71" s="359"/>
      <c r="H71" s="359"/>
      <c r="I71" s="357"/>
      <c r="J71" s="357"/>
      <c r="K71" s="357"/>
      <c r="L71" s="357"/>
      <c r="M71" s="357"/>
      <c r="N71" s="357"/>
      <c r="O71" s="360"/>
      <c r="P71" s="361"/>
    </row>
    <row r="72" customFormat="false" ht="69.95" hidden="false" customHeight="true" outlineLevel="0" collapsed="false">
      <c r="B72" s="353" t="n">
        <v>56</v>
      </c>
      <c r="C72" s="357"/>
      <c r="D72" s="357"/>
      <c r="E72" s="358"/>
      <c r="F72" s="357"/>
      <c r="G72" s="359"/>
      <c r="H72" s="359"/>
      <c r="I72" s="357"/>
      <c r="J72" s="357"/>
      <c r="K72" s="357"/>
      <c r="L72" s="357"/>
      <c r="M72" s="357"/>
      <c r="N72" s="357"/>
      <c r="O72" s="360"/>
      <c r="P72" s="361"/>
    </row>
    <row r="73" customFormat="false" ht="69.95" hidden="false" customHeight="true" outlineLevel="0" collapsed="false">
      <c r="B73" s="353" t="n">
        <v>57</v>
      </c>
      <c r="C73" s="357"/>
      <c r="D73" s="357"/>
      <c r="E73" s="358"/>
      <c r="F73" s="357"/>
      <c r="G73" s="359"/>
      <c r="H73" s="359"/>
      <c r="I73" s="357"/>
      <c r="J73" s="357"/>
      <c r="K73" s="357"/>
      <c r="L73" s="357"/>
      <c r="M73" s="357"/>
      <c r="N73" s="357"/>
      <c r="O73" s="360"/>
      <c r="P73" s="361"/>
    </row>
    <row r="74" customFormat="false" ht="69.95" hidden="false" customHeight="true" outlineLevel="0" collapsed="false">
      <c r="B74" s="353" t="n">
        <v>58</v>
      </c>
      <c r="C74" s="357"/>
      <c r="D74" s="357"/>
      <c r="E74" s="358"/>
      <c r="F74" s="357"/>
      <c r="G74" s="359"/>
      <c r="H74" s="359"/>
      <c r="I74" s="357"/>
      <c r="J74" s="357"/>
      <c r="K74" s="357"/>
      <c r="L74" s="357"/>
      <c r="M74" s="357"/>
      <c r="N74" s="357"/>
      <c r="O74" s="360"/>
      <c r="P74" s="361"/>
    </row>
    <row r="75" customFormat="false" ht="69.95" hidden="false" customHeight="true" outlineLevel="0" collapsed="false">
      <c r="B75" s="353" t="n">
        <v>59</v>
      </c>
      <c r="C75" s="357"/>
      <c r="D75" s="357"/>
      <c r="E75" s="358"/>
      <c r="F75" s="357"/>
      <c r="G75" s="359"/>
      <c r="H75" s="359"/>
      <c r="I75" s="357"/>
      <c r="J75" s="357"/>
      <c r="K75" s="357"/>
      <c r="L75" s="357"/>
      <c r="M75" s="357"/>
      <c r="N75" s="357"/>
      <c r="O75" s="360"/>
      <c r="P75" s="361"/>
    </row>
    <row r="76" customFormat="false" ht="69.95" hidden="false" customHeight="true" outlineLevel="0" collapsed="false">
      <c r="B76" s="353" t="n">
        <v>60</v>
      </c>
      <c r="C76" s="357"/>
      <c r="D76" s="357"/>
      <c r="E76" s="358"/>
      <c r="F76" s="357"/>
      <c r="G76" s="359"/>
      <c r="H76" s="359"/>
      <c r="I76" s="357"/>
      <c r="J76" s="357"/>
      <c r="K76" s="357"/>
      <c r="L76" s="357"/>
      <c r="M76" s="357"/>
      <c r="N76" s="357"/>
      <c r="O76" s="360"/>
      <c r="P76" s="361"/>
    </row>
    <row r="77" customFormat="false" ht="69.95" hidden="false" customHeight="true" outlineLevel="0" collapsed="false">
      <c r="B77" s="353" t="n">
        <v>61</v>
      </c>
      <c r="C77" s="357"/>
      <c r="D77" s="357"/>
      <c r="E77" s="358"/>
      <c r="F77" s="357"/>
      <c r="G77" s="359"/>
      <c r="H77" s="359"/>
      <c r="I77" s="357"/>
      <c r="J77" s="357"/>
      <c r="K77" s="357"/>
      <c r="L77" s="357"/>
      <c r="M77" s="357"/>
      <c r="N77" s="357"/>
      <c r="O77" s="360"/>
      <c r="P77" s="361"/>
    </row>
    <row r="78" customFormat="false" ht="69.95" hidden="false" customHeight="true" outlineLevel="0" collapsed="false">
      <c r="B78" s="353" t="n">
        <v>62</v>
      </c>
      <c r="C78" s="357"/>
      <c r="D78" s="357"/>
      <c r="E78" s="358"/>
      <c r="F78" s="357"/>
      <c r="G78" s="359"/>
      <c r="H78" s="359"/>
      <c r="I78" s="357"/>
      <c r="J78" s="357"/>
      <c r="K78" s="357"/>
      <c r="L78" s="357"/>
      <c r="M78" s="357"/>
      <c r="N78" s="357"/>
      <c r="O78" s="360"/>
      <c r="P78" s="361"/>
    </row>
    <row r="79" customFormat="false" ht="69.95" hidden="false" customHeight="true" outlineLevel="0" collapsed="false">
      <c r="B79" s="353" t="n">
        <v>63</v>
      </c>
      <c r="C79" s="357"/>
      <c r="D79" s="357"/>
      <c r="E79" s="358"/>
      <c r="F79" s="357"/>
      <c r="G79" s="359"/>
      <c r="H79" s="359"/>
      <c r="I79" s="357"/>
      <c r="J79" s="357"/>
      <c r="K79" s="357"/>
      <c r="L79" s="357"/>
      <c r="M79" s="357"/>
      <c r="N79" s="357"/>
      <c r="O79" s="360"/>
      <c r="P79" s="361"/>
    </row>
    <row r="80" customFormat="false" ht="69.95" hidden="false" customHeight="true" outlineLevel="0" collapsed="false">
      <c r="B80" s="353" t="n">
        <v>64</v>
      </c>
      <c r="C80" s="357"/>
      <c r="D80" s="357"/>
      <c r="E80" s="358"/>
      <c r="F80" s="357"/>
      <c r="G80" s="359"/>
      <c r="H80" s="359"/>
      <c r="I80" s="357"/>
      <c r="J80" s="357"/>
      <c r="K80" s="357"/>
      <c r="L80" s="357"/>
      <c r="M80" s="357"/>
      <c r="N80" s="357"/>
      <c r="O80" s="360"/>
      <c r="P80" s="361"/>
    </row>
    <row r="81" customFormat="false" ht="69.95" hidden="false" customHeight="true" outlineLevel="0" collapsed="false">
      <c r="B81" s="353" t="n">
        <v>65</v>
      </c>
      <c r="C81" s="357"/>
      <c r="D81" s="357"/>
      <c r="E81" s="358"/>
      <c r="F81" s="357"/>
      <c r="G81" s="359"/>
      <c r="H81" s="359"/>
      <c r="I81" s="357"/>
      <c r="J81" s="357"/>
      <c r="K81" s="357"/>
      <c r="L81" s="357"/>
      <c r="M81" s="357"/>
      <c r="N81" s="357"/>
      <c r="O81" s="360"/>
      <c r="P81" s="361"/>
    </row>
    <row r="82" customFormat="false" ht="69.95" hidden="false" customHeight="true" outlineLevel="0" collapsed="false">
      <c r="B82" s="353" t="n">
        <v>66</v>
      </c>
      <c r="C82" s="357"/>
      <c r="D82" s="357"/>
      <c r="E82" s="358"/>
      <c r="F82" s="357"/>
      <c r="G82" s="359"/>
      <c r="H82" s="359"/>
      <c r="I82" s="357"/>
      <c r="J82" s="357"/>
      <c r="K82" s="357"/>
      <c r="L82" s="357"/>
      <c r="M82" s="357"/>
      <c r="N82" s="357"/>
      <c r="O82" s="360"/>
      <c r="P82" s="361"/>
    </row>
    <row r="83" customFormat="false" ht="69.95" hidden="false" customHeight="true" outlineLevel="0" collapsed="false">
      <c r="B83" s="353" t="n">
        <v>67</v>
      </c>
      <c r="C83" s="357"/>
      <c r="D83" s="357"/>
      <c r="E83" s="358"/>
      <c r="F83" s="357"/>
      <c r="G83" s="359"/>
      <c r="H83" s="359"/>
      <c r="I83" s="357"/>
      <c r="J83" s="357"/>
      <c r="K83" s="357"/>
      <c r="L83" s="357"/>
      <c r="M83" s="357"/>
      <c r="N83" s="357"/>
      <c r="O83" s="360"/>
      <c r="P83" s="361"/>
    </row>
    <row r="84" customFormat="false" ht="69.95" hidden="false" customHeight="true" outlineLevel="0" collapsed="false">
      <c r="B84" s="353" t="n">
        <v>68</v>
      </c>
      <c r="C84" s="357"/>
      <c r="D84" s="357"/>
      <c r="E84" s="358"/>
      <c r="F84" s="357"/>
      <c r="G84" s="359"/>
      <c r="H84" s="359"/>
      <c r="I84" s="357"/>
      <c r="J84" s="357"/>
      <c r="K84" s="357"/>
      <c r="L84" s="357"/>
      <c r="M84" s="357"/>
      <c r="N84" s="357"/>
      <c r="O84" s="360"/>
      <c r="P84" s="361"/>
    </row>
    <row r="85" customFormat="false" ht="69.95" hidden="false" customHeight="true" outlineLevel="0" collapsed="false">
      <c r="B85" s="353" t="n">
        <v>69</v>
      </c>
      <c r="C85" s="357"/>
      <c r="D85" s="357"/>
      <c r="E85" s="358"/>
      <c r="F85" s="357"/>
      <c r="G85" s="359"/>
      <c r="H85" s="359"/>
      <c r="I85" s="357"/>
      <c r="J85" s="357"/>
      <c r="K85" s="357"/>
      <c r="L85" s="357"/>
      <c r="M85" s="357"/>
      <c r="N85" s="357"/>
      <c r="O85" s="360"/>
      <c r="P85" s="361"/>
    </row>
    <row r="86" customFormat="false" ht="69.95" hidden="false" customHeight="true" outlineLevel="0" collapsed="false">
      <c r="B86" s="353" t="n">
        <v>70</v>
      </c>
      <c r="C86" s="357"/>
      <c r="D86" s="357"/>
      <c r="E86" s="358"/>
      <c r="F86" s="357"/>
      <c r="G86" s="359"/>
      <c r="H86" s="359"/>
      <c r="I86" s="357"/>
      <c r="J86" s="363"/>
      <c r="K86" s="364"/>
      <c r="L86" s="357"/>
      <c r="M86" s="357"/>
      <c r="N86" s="357"/>
      <c r="O86" s="360"/>
      <c r="P86" s="361"/>
    </row>
    <row r="87" customFormat="false" ht="69.95" hidden="false" customHeight="true" outlineLevel="0" collapsed="false">
      <c r="B87" s="353" t="n">
        <v>71</v>
      </c>
      <c r="C87" s="357"/>
      <c r="D87" s="357"/>
      <c r="E87" s="358"/>
      <c r="F87" s="357"/>
      <c r="G87" s="359"/>
      <c r="H87" s="359"/>
      <c r="I87" s="357"/>
      <c r="J87" s="363"/>
      <c r="K87" s="364"/>
      <c r="L87" s="357"/>
      <c r="M87" s="357"/>
      <c r="N87" s="357"/>
      <c r="O87" s="360"/>
      <c r="P87" s="361"/>
    </row>
    <row r="88" customFormat="false" ht="69.95" hidden="false" customHeight="true" outlineLevel="0" collapsed="false">
      <c r="B88" s="353" t="n">
        <v>72</v>
      </c>
      <c r="C88" s="357"/>
      <c r="D88" s="357"/>
      <c r="E88" s="358"/>
      <c r="F88" s="357"/>
      <c r="G88" s="359"/>
      <c r="H88" s="359"/>
      <c r="I88" s="357"/>
      <c r="J88" s="363"/>
      <c r="K88" s="364"/>
      <c r="L88" s="357"/>
      <c r="M88" s="357"/>
      <c r="N88" s="357"/>
      <c r="O88" s="360"/>
      <c r="P88" s="361"/>
    </row>
    <row r="89" customFormat="false" ht="69.95" hidden="false" customHeight="true" outlineLevel="0" collapsed="false">
      <c r="B89" s="353" t="n">
        <v>73</v>
      </c>
      <c r="C89" s="357"/>
      <c r="D89" s="357"/>
      <c r="E89" s="358"/>
      <c r="F89" s="357"/>
      <c r="G89" s="359"/>
      <c r="H89" s="359"/>
      <c r="I89" s="357"/>
      <c r="J89" s="363"/>
      <c r="K89" s="364"/>
      <c r="L89" s="357"/>
      <c r="M89" s="357"/>
      <c r="N89" s="357"/>
      <c r="O89" s="360"/>
      <c r="P89" s="361"/>
    </row>
    <row r="90" customFormat="false" ht="69.95" hidden="false" customHeight="true" outlineLevel="0" collapsed="false">
      <c r="B90" s="353" t="n">
        <v>74</v>
      </c>
      <c r="C90" s="357"/>
      <c r="D90" s="357"/>
      <c r="E90" s="358"/>
      <c r="F90" s="357"/>
      <c r="G90" s="359"/>
      <c r="H90" s="359"/>
      <c r="I90" s="357"/>
      <c r="J90" s="363"/>
      <c r="K90" s="364"/>
      <c r="L90" s="357"/>
      <c r="M90" s="357"/>
      <c r="N90" s="357"/>
      <c r="O90" s="360"/>
      <c r="P90" s="361"/>
    </row>
    <row r="91" customFormat="false" ht="69.95" hidden="false" customHeight="true" outlineLevel="0" collapsed="false">
      <c r="B91" s="353" t="n">
        <v>75</v>
      </c>
      <c r="C91" s="357"/>
      <c r="D91" s="357"/>
      <c r="E91" s="358"/>
      <c r="F91" s="357"/>
      <c r="G91" s="359"/>
      <c r="H91" s="359"/>
      <c r="I91" s="357"/>
      <c r="J91" s="363"/>
      <c r="K91" s="364"/>
      <c r="L91" s="357"/>
      <c r="M91" s="357"/>
      <c r="N91" s="357"/>
      <c r="O91" s="360"/>
      <c r="P91" s="361"/>
    </row>
    <row r="92" customFormat="false" ht="69.95" hidden="false" customHeight="true" outlineLevel="0" collapsed="false">
      <c r="B92" s="353" t="n">
        <v>76</v>
      </c>
      <c r="C92" s="357"/>
      <c r="D92" s="357"/>
      <c r="E92" s="358"/>
      <c r="F92" s="357"/>
      <c r="G92" s="359"/>
      <c r="H92" s="359"/>
      <c r="I92" s="357"/>
      <c r="J92" s="357"/>
      <c r="K92" s="357"/>
      <c r="L92" s="357"/>
      <c r="M92" s="357"/>
      <c r="N92" s="357"/>
      <c r="O92" s="360"/>
      <c r="P92" s="361"/>
    </row>
    <row r="93" customFormat="false" ht="69.95" hidden="false" customHeight="true" outlineLevel="0" collapsed="false">
      <c r="B93" s="353" t="n">
        <v>77</v>
      </c>
      <c r="C93" s="357"/>
      <c r="D93" s="357"/>
      <c r="E93" s="358"/>
      <c r="F93" s="357"/>
      <c r="G93" s="359"/>
      <c r="H93" s="359"/>
      <c r="I93" s="357"/>
      <c r="J93" s="357"/>
      <c r="K93" s="357"/>
      <c r="L93" s="357"/>
      <c r="M93" s="357"/>
      <c r="N93" s="357"/>
      <c r="O93" s="360"/>
      <c r="P93" s="361"/>
    </row>
    <row r="94" customFormat="false" ht="69.95" hidden="false" customHeight="true" outlineLevel="0" collapsed="false">
      <c r="B94" s="353" t="n">
        <v>78</v>
      </c>
      <c r="C94" s="357"/>
      <c r="D94" s="357"/>
      <c r="E94" s="358"/>
      <c r="F94" s="357"/>
      <c r="G94" s="359"/>
      <c r="H94" s="359"/>
      <c r="I94" s="357"/>
      <c r="J94" s="357"/>
      <c r="K94" s="357"/>
      <c r="L94" s="357"/>
      <c r="M94" s="357"/>
      <c r="N94" s="357"/>
      <c r="O94" s="360"/>
      <c r="P94" s="361"/>
    </row>
    <row r="95" customFormat="false" ht="69.95" hidden="false" customHeight="true" outlineLevel="0" collapsed="false">
      <c r="B95" s="353" t="n">
        <v>79</v>
      </c>
      <c r="C95" s="357"/>
      <c r="D95" s="357"/>
      <c r="E95" s="358"/>
      <c r="F95" s="357"/>
      <c r="G95" s="359"/>
      <c r="H95" s="359"/>
      <c r="I95" s="357"/>
      <c r="J95" s="357"/>
      <c r="K95" s="357"/>
      <c r="L95" s="357"/>
      <c r="M95" s="357"/>
      <c r="N95" s="357"/>
      <c r="O95" s="360"/>
      <c r="P95" s="361"/>
    </row>
    <row r="96" customFormat="false" ht="69.95" hidden="false" customHeight="true" outlineLevel="0" collapsed="false">
      <c r="B96" s="353" t="n">
        <v>80</v>
      </c>
      <c r="C96" s="357"/>
      <c r="D96" s="357"/>
      <c r="E96" s="358"/>
      <c r="F96" s="357"/>
      <c r="G96" s="359"/>
      <c r="H96" s="359"/>
      <c r="I96" s="357"/>
      <c r="J96" s="357"/>
      <c r="K96" s="357"/>
      <c r="L96" s="357"/>
      <c r="M96" s="357"/>
      <c r="N96" s="357"/>
      <c r="O96" s="360"/>
      <c r="P96" s="361"/>
    </row>
    <row r="97" customFormat="false" ht="69.95" hidden="false" customHeight="true" outlineLevel="0" collapsed="false">
      <c r="B97" s="353" t="n">
        <v>81</v>
      </c>
      <c r="C97" s="357"/>
      <c r="D97" s="357"/>
      <c r="E97" s="358"/>
      <c r="F97" s="357"/>
      <c r="G97" s="359"/>
      <c r="H97" s="359"/>
      <c r="I97" s="357"/>
      <c r="J97" s="357"/>
      <c r="K97" s="357"/>
      <c r="L97" s="357"/>
      <c r="M97" s="357"/>
      <c r="N97" s="357"/>
      <c r="O97" s="360"/>
      <c r="P97" s="361"/>
    </row>
    <row r="98" customFormat="false" ht="69.95" hidden="false" customHeight="true" outlineLevel="0" collapsed="false">
      <c r="B98" s="353" t="n">
        <v>82</v>
      </c>
      <c r="C98" s="357"/>
      <c r="D98" s="357"/>
      <c r="E98" s="358"/>
      <c r="F98" s="357"/>
      <c r="G98" s="359"/>
      <c r="H98" s="359"/>
      <c r="I98" s="357"/>
      <c r="J98" s="357"/>
      <c r="K98" s="357"/>
      <c r="L98" s="357"/>
      <c r="M98" s="357"/>
      <c r="N98" s="357"/>
      <c r="O98" s="360"/>
      <c r="P98" s="361"/>
    </row>
    <row r="99" customFormat="false" ht="69.95" hidden="false" customHeight="true" outlineLevel="0" collapsed="false">
      <c r="B99" s="353" t="n">
        <v>83</v>
      </c>
      <c r="C99" s="357"/>
      <c r="D99" s="357"/>
      <c r="E99" s="358"/>
      <c r="F99" s="357"/>
      <c r="G99" s="359"/>
      <c r="H99" s="359"/>
      <c r="I99" s="357"/>
      <c r="J99" s="363"/>
      <c r="K99" s="364"/>
      <c r="L99" s="357"/>
      <c r="M99" s="357"/>
      <c r="N99" s="357"/>
      <c r="O99" s="360"/>
      <c r="P99" s="361"/>
    </row>
    <row r="100" customFormat="false" ht="69.95" hidden="false" customHeight="true" outlineLevel="0" collapsed="false">
      <c r="B100" s="353" t="n">
        <v>84</v>
      </c>
      <c r="C100" s="357"/>
      <c r="D100" s="357"/>
      <c r="E100" s="358"/>
      <c r="F100" s="357"/>
      <c r="G100" s="359"/>
      <c r="H100" s="359"/>
      <c r="I100" s="357"/>
      <c r="J100" s="363"/>
      <c r="K100" s="364"/>
      <c r="L100" s="357"/>
      <c r="M100" s="357"/>
      <c r="N100" s="357"/>
      <c r="O100" s="360"/>
      <c r="P100" s="361"/>
    </row>
    <row r="101" customFormat="false" ht="69.95" hidden="false" customHeight="true" outlineLevel="0" collapsed="false">
      <c r="B101" s="353" t="n">
        <v>85</v>
      </c>
      <c r="C101" s="357"/>
      <c r="D101" s="357"/>
      <c r="E101" s="358"/>
      <c r="F101" s="357"/>
      <c r="G101" s="359"/>
      <c r="H101" s="359"/>
      <c r="I101" s="357"/>
      <c r="J101" s="357"/>
      <c r="K101" s="357"/>
      <c r="L101" s="357"/>
      <c r="M101" s="357"/>
      <c r="N101" s="357"/>
      <c r="O101" s="360"/>
      <c r="P101" s="361"/>
    </row>
    <row r="102" customFormat="false" ht="69.95" hidden="false" customHeight="true" outlineLevel="0" collapsed="false">
      <c r="B102" s="353" t="n">
        <v>86</v>
      </c>
      <c r="C102" s="357"/>
      <c r="D102" s="357"/>
      <c r="E102" s="358"/>
      <c r="F102" s="357"/>
      <c r="G102" s="359"/>
      <c r="H102" s="359"/>
      <c r="I102" s="357"/>
      <c r="J102" s="357"/>
      <c r="K102" s="357"/>
      <c r="L102" s="357"/>
      <c r="M102" s="357"/>
      <c r="N102" s="357"/>
      <c r="O102" s="360"/>
      <c r="P102" s="361"/>
    </row>
    <row r="103" customFormat="false" ht="69.95" hidden="false" customHeight="true" outlineLevel="0" collapsed="false">
      <c r="B103" s="353" t="n">
        <v>87</v>
      </c>
      <c r="C103" s="357"/>
      <c r="D103" s="357"/>
      <c r="E103" s="358"/>
      <c r="F103" s="357"/>
      <c r="G103" s="359"/>
      <c r="H103" s="359"/>
      <c r="I103" s="357"/>
      <c r="J103" s="357"/>
      <c r="K103" s="357"/>
      <c r="L103" s="357"/>
      <c r="M103" s="357"/>
      <c r="N103" s="357"/>
      <c r="O103" s="360"/>
      <c r="P103" s="361"/>
    </row>
    <row r="104" customFormat="false" ht="69.75" hidden="false" customHeight="true" outlineLevel="0" collapsed="false">
      <c r="B104" s="353" t="n">
        <v>88</v>
      </c>
      <c r="C104" s="357"/>
      <c r="D104" s="357"/>
      <c r="E104" s="358"/>
      <c r="F104" s="357"/>
      <c r="G104" s="359"/>
      <c r="H104" s="359"/>
      <c r="I104" s="357"/>
      <c r="J104" s="357"/>
      <c r="K104" s="357"/>
      <c r="L104" s="357"/>
      <c r="M104" s="357"/>
      <c r="N104" s="357"/>
      <c r="O104" s="360"/>
      <c r="P104" s="361"/>
    </row>
    <row r="105" customFormat="false" ht="69.75" hidden="false" customHeight="true" outlineLevel="0" collapsed="false">
      <c r="B105" s="353" t="n">
        <v>89</v>
      </c>
      <c r="C105" s="357"/>
      <c r="D105" s="357"/>
      <c r="E105" s="358"/>
      <c r="F105" s="357"/>
      <c r="G105" s="359"/>
      <c r="H105" s="359"/>
      <c r="I105" s="357"/>
      <c r="J105" s="357"/>
      <c r="K105" s="357"/>
      <c r="L105" s="357"/>
      <c r="M105" s="357"/>
      <c r="N105" s="357"/>
      <c r="O105" s="360"/>
      <c r="P105" s="361"/>
    </row>
    <row r="106" customFormat="false" ht="69.75" hidden="false" customHeight="true" outlineLevel="0" collapsed="false">
      <c r="B106" s="353" t="n">
        <v>90</v>
      </c>
      <c r="C106" s="357"/>
      <c r="D106" s="357"/>
      <c r="E106" s="358"/>
      <c r="F106" s="357"/>
      <c r="G106" s="359"/>
      <c r="H106" s="359"/>
      <c r="I106" s="357"/>
      <c r="J106" s="357"/>
      <c r="K106" s="357"/>
      <c r="L106" s="357"/>
      <c r="M106" s="357"/>
      <c r="N106" s="357"/>
      <c r="O106" s="360"/>
      <c r="P106" s="361"/>
    </row>
    <row r="107" customFormat="false" ht="69.75" hidden="false" customHeight="true" outlineLevel="0" collapsed="false">
      <c r="B107" s="353" t="n">
        <v>91</v>
      </c>
      <c r="C107" s="357"/>
      <c r="D107" s="357"/>
      <c r="E107" s="358"/>
      <c r="F107" s="357"/>
      <c r="G107" s="359"/>
      <c r="H107" s="359"/>
      <c r="I107" s="357"/>
      <c r="J107" s="357"/>
      <c r="K107" s="357"/>
      <c r="L107" s="357"/>
      <c r="M107" s="357"/>
      <c r="N107" s="357"/>
      <c r="O107" s="360"/>
      <c r="P107" s="361"/>
    </row>
    <row r="108" customFormat="false" ht="69.75" hidden="false" customHeight="true" outlineLevel="0" collapsed="false">
      <c r="B108" s="353" t="n">
        <v>92</v>
      </c>
      <c r="C108" s="357"/>
      <c r="D108" s="357"/>
      <c r="E108" s="358"/>
      <c r="F108" s="357"/>
      <c r="G108" s="359"/>
      <c r="H108" s="359"/>
      <c r="I108" s="357"/>
      <c r="J108" s="357"/>
      <c r="K108" s="357"/>
      <c r="L108" s="357"/>
      <c r="M108" s="357"/>
      <c r="N108" s="357"/>
      <c r="O108" s="360"/>
      <c r="P108" s="361"/>
    </row>
    <row r="109" customFormat="false" ht="69.75" hidden="false" customHeight="true" outlineLevel="0" collapsed="false">
      <c r="B109" s="353" t="n">
        <v>93</v>
      </c>
      <c r="C109" s="357"/>
      <c r="D109" s="357"/>
      <c r="E109" s="358"/>
      <c r="F109" s="357"/>
      <c r="G109" s="359"/>
      <c r="H109" s="359"/>
      <c r="I109" s="357"/>
      <c r="J109" s="357"/>
      <c r="K109" s="357"/>
      <c r="L109" s="357"/>
      <c r="M109" s="357"/>
      <c r="N109" s="357"/>
      <c r="O109" s="360"/>
      <c r="P109" s="361"/>
    </row>
    <row r="110" customFormat="false" ht="69.75" hidden="false" customHeight="true" outlineLevel="0" collapsed="false">
      <c r="B110" s="353" t="n">
        <v>94</v>
      </c>
      <c r="C110" s="357"/>
      <c r="D110" s="357"/>
      <c r="E110" s="358"/>
      <c r="F110" s="357"/>
      <c r="G110" s="359"/>
      <c r="H110" s="359"/>
      <c r="I110" s="357"/>
      <c r="J110" s="357"/>
      <c r="K110" s="357"/>
      <c r="L110" s="357"/>
      <c r="M110" s="357"/>
      <c r="N110" s="357"/>
      <c r="O110" s="360"/>
      <c r="P110" s="361"/>
    </row>
    <row r="111" customFormat="false" ht="69.75" hidden="false" customHeight="true" outlineLevel="0" collapsed="false">
      <c r="B111" s="353" t="n">
        <v>95</v>
      </c>
      <c r="C111" s="357"/>
      <c r="D111" s="357"/>
      <c r="E111" s="358"/>
      <c r="F111" s="357"/>
      <c r="G111" s="359"/>
      <c r="H111" s="359"/>
      <c r="I111" s="357"/>
      <c r="J111" s="357"/>
      <c r="K111" s="357"/>
      <c r="L111" s="357"/>
      <c r="M111" s="357"/>
      <c r="N111" s="357"/>
      <c r="O111" s="360"/>
      <c r="P111" s="361"/>
    </row>
    <row r="112" customFormat="false" ht="69.75" hidden="false" customHeight="true" outlineLevel="0" collapsed="false">
      <c r="B112" s="353" t="n">
        <v>96</v>
      </c>
      <c r="C112" s="357"/>
      <c r="D112" s="357"/>
      <c r="E112" s="358"/>
      <c r="F112" s="357"/>
      <c r="G112" s="359"/>
      <c r="H112" s="359"/>
      <c r="I112" s="357"/>
      <c r="J112" s="357"/>
      <c r="K112" s="357"/>
      <c r="L112" s="357"/>
      <c r="M112" s="357"/>
      <c r="N112" s="357"/>
      <c r="O112" s="360"/>
      <c r="P112" s="361"/>
    </row>
    <row r="113" customFormat="false" ht="69.75" hidden="false" customHeight="true" outlineLevel="0" collapsed="false">
      <c r="B113" s="353" t="n">
        <v>97</v>
      </c>
      <c r="C113" s="357"/>
      <c r="D113" s="357"/>
      <c r="E113" s="358"/>
      <c r="F113" s="357"/>
      <c r="G113" s="359"/>
      <c r="H113" s="359"/>
      <c r="I113" s="357"/>
      <c r="J113" s="357"/>
      <c r="K113" s="357"/>
      <c r="L113" s="357"/>
      <c r="M113" s="357"/>
      <c r="N113" s="357"/>
      <c r="O113" s="360"/>
      <c r="P113" s="361"/>
    </row>
    <row r="114" customFormat="false" ht="69.75" hidden="false" customHeight="true" outlineLevel="0" collapsed="false">
      <c r="B114" s="353" t="n">
        <v>98</v>
      </c>
      <c r="C114" s="357"/>
      <c r="D114" s="357"/>
      <c r="E114" s="358"/>
      <c r="F114" s="357"/>
      <c r="G114" s="359"/>
      <c r="H114" s="359"/>
      <c r="I114" s="357"/>
      <c r="J114" s="357"/>
      <c r="K114" s="357"/>
      <c r="L114" s="357"/>
      <c r="M114" s="357"/>
      <c r="N114" s="357"/>
      <c r="O114" s="360"/>
      <c r="P114" s="361"/>
    </row>
    <row r="115" customFormat="false" ht="69.75" hidden="false" customHeight="true" outlineLevel="0" collapsed="false">
      <c r="B115" s="353" t="n">
        <v>99</v>
      </c>
      <c r="C115" s="357"/>
      <c r="D115" s="357"/>
      <c r="E115" s="358"/>
      <c r="F115" s="357"/>
      <c r="G115" s="359"/>
      <c r="H115" s="359"/>
      <c r="I115" s="357"/>
      <c r="J115" s="357"/>
      <c r="K115" s="357"/>
      <c r="L115" s="357"/>
      <c r="M115" s="357"/>
      <c r="N115" s="357"/>
      <c r="O115" s="360"/>
      <c r="P115" s="361"/>
    </row>
    <row r="116" customFormat="false" ht="69.75" hidden="false" customHeight="true" outlineLevel="0" collapsed="false">
      <c r="B116" s="353" t="n">
        <v>100</v>
      </c>
      <c r="C116" s="357"/>
      <c r="D116" s="357"/>
      <c r="E116" s="358"/>
      <c r="F116" s="357"/>
      <c r="G116" s="359"/>
      <c r="H116" s="359"/>
      <c r="I116" s="357"/>
      <c r="J116" s="357"/>
      <c r="K116" s="357"/>
      <c r="L116" s="357"/>
      <c r="M116" s="357"/>
      <c r="N116" s="357"/>
      <c r="O116" s="360"/>
      <c r="P116" s="361"/>
    </row>
  </sheetData>
  <sheetProtection sheet="true" password="9312" insertRows="false" deleteRows="false"/>
  <protectedRanges>
    <protectedRange name="Rango1" sqref="C17:P116"/>
  </protectedRanges>
  <mergeCells count="202">
    <mergeCell ref="C4:P4"/>
    <mergeCell ref="C7:P7"/>
    <mergeCell ref="C9:P9"/>
    <mergeCell ref="C10:L11"/>
    <mergeCell ref="C13:P13"/>
    <mergeCell ref="B14:E14"/>
    <mergeCell ref="G14:P14"/>
    <mergeCell ref="B15:P15"/>
    <mergeCell ref="J16:K16"/>
    <mergeCell ref="L16:N16"/>
    <mergeCell ref="J17:K17"/>
    <mergeCell ref="L17:N17"/>
    <mergeCell ref="J18:K18"/>
    <mergeCell ref="L18:N18"/>
    <mergeCell ref="J19:K19"/>
    <mergeCell ref="L19:N19"/>
    <mergeCell ref="J20:K20"/>
    <mergeCell ref="L20:N20"/>
    <mergeCell ref="J21:K21"/>
    <mergeCell ref="L21:N21"/>
    <mergeCell ref="J22:K22"/>
    <mergeCell ref="L22:N22"/>
    <mergeCell ref="J23:K23"/>
    <mergeCell ref="L23:N23"/>
    <mergeCell ref="J24:K24"/>
    <mergeCell ref="L24:N24"/>
    <mergeCell ref="J25:K25"/>
    <mergeCell ref="L25:N25"/>
    <mergeCell ref="J26:K26"/>
    <mergeCell ref="L26:N26"/>
    <mergeCell ref="J27:K27"/>
    <mergeCell ref="L27:N27"/>
    <mergeCell ref="J28:K28"/>
    <mergeCell ref="L28:N28"/>
    <mergeCell ref="J29:K29"/>
    <mergeCell ref="L29:N29"/>
    <mergeCell ref="J30:K30"/>
    <mergeCell ref="L30:N30"/>
    <mergeCell ref="J31:K31"/>
    <mergeCell ref="L31:N31"/>
    <mergeCell ref="J32:K32"/>
    <mergeCell ref="L32:N32"/>
    <mergeCell ref="J33:K33"/>
    <mergeCell ref="L33:N33"/>
    <mergeCell ref="J34:K34"/>
    <mergeCell ref="L34:N34"/>
    <mergeCell ref="J35:K35"/>
    <mergeCell ref="L35:N35"/>
    <mergeCell ref="J36:K36"/>
    <mergeCell ref="L36:N36"/>
    <mergeCell ref="J37:K37"/>
    <mergeCell ref="L37:N37"/>
    <mergeCell ref="J38:K38"/>
    <mergeCell ref="L38:N38"/>
    <mergeCell ref="J39:K39"/>
    <mergeCell ref="L39:N39"/>
    <mergeCell ref="J40:K40"/>
    <mergeCell ref="L40:N40"/>
    <mergeCell ref="J41:K41"/>
    <mergeCell ref="L41:N41"/>
    <mergeCell ref="J42:K42"/>
    <mergeCell ref="L42:N42"/>
    <mergeCell ref="J43:K43"/>
    <mergeCell ref="L43:N43"/>
    <mergeCell ref="J44:K44"/>
    <mergeCell ref="L44:N44"/>
    <mergeCell ref="J45:K45"/>
    <mergeCell ref="L45:N45"/>
    <mergeCell ref="J46:K46"/>
    <mergeCell ref="L46:N46"/>
    <mergeCell ref="J47:K47"/>
    <mergeCell ref="L47:N47"/>
    <mergeCell ref="J48:K48"/>
    <mergeCell ref="L48:N48"/>
    <mergeCell ref="J49:K49"/>
    <mergeCell ref="L49:N49"/>
    <mergeCell ref="J50:K50"/>
    <mergeCell ref="L50:N50"/>
    <mergeCell ref="J51:K51"/>
    <mergeCell ref="L51:N51"/>
    <mergeCell ref="J52:K52"/>
    <mergeCell ref="L52:N52"/>
    <mergeCell ref="J53:K53"/>
    <mergeCell ref="L53:N53"/>
    <mergeCell ref="J54:K54"/>
    <mergeCell ref="L54:N54"/>
    <mergeCell ref="J55:K55"/>
    <mergeCell ref="L55:N55"/>
    <mergeCell ref="J56:K56"/>
    <mergeCell ref="L56:N56"/>
    <mergeCell ref="J57:K57"/>
    <mergeCell ref="L57:N57"/>
    <mergeCell ref="J58:K58"/>
    <mergeCell ref="L58:N58"/>
    <mergeCell ref="J59:K59"/>
    <mergeCell ref="L59:N59"/>
    <mergeCell ref="J60:K60"/>
    <mergeCell ref="L60:N60"/>
    <mergeCell ref="J61:K61"/>
    <mergeCell ref="L61:N61"/>
    <mergeCell ref="J62:K62"/>
    <mergeCell ref="L62:N62"/>
    <mergeCell ref="J63:K63"/>
    <mergeCell ref="L63:N63"/>
    <mergeCell ref="J64:K64"/>
    <mergeCell ref="L64:N64"/>
    <mergeCell ref="J65:K65"/>
    <mergeCell ref="L65:N65"/>
    <mergeCell ref="J66:K66"/>
    <mergeCell ref="L66:N66"/>
    <mergeCell ref="J67:K67"/>
    <mergeCell ref="L67:N67"/>
    <mergeCell ref="J68:K68"/>
    <mergeCell ref="L68:N68"/>
    <mergeCell ref="J69:K69"/>
    <mergeCell ref="L69:N69"/>
    <mergeCell ref="J70:K70"/>
    <mergeCell ref="L70:N70"/>
    <mergeCell ref="J71:K71"/>
    <mergeCell ref="L71:N71"/>
    <mergeCell ref="J72:K72"/>
    <mergeCell ref="L72:N72"/>
    <mergeCell ref="J73:K73"/>
    <mergeCell ref="L73:N73"/>
    <mergeCell ref="J74:K74"/>
    <mergeCell ref="L74:N74"/>
    <mergeCell ref="J75:K75"/>
    <mergeCell ref="L75:N75"/>
    <mergeCell ref="J76:K76"/>
    <mergeCell ref="L76:N76"/>
    <mergeCell ref="J77:K77"/>
    <mergeCell ref="L77:N77"/>
    <mergeCell ref="J78:K78"/>
    <mergeCell ref="L78:N78"/>
    <mergeCell ref="J79:K79"/>
    <mergeCell ref="L79:N79"/>
    <mergeCell ref="J80:K80"/>
    <mergeCell ref="L80:N80"/>
    <mergeCell ref="J81:K81"/>
    <mergeCell ref="L81:N81"/>
    <mergeCell ref="J82:K82"/>
    <mergeCell ref="L82:N82"/>
    <mergeCell ref="J83:K83"/>
    <mergeCell ref="L83:N83"/>
    <mergeCell ref="J84:K84"/>
    <mergeCell ref="L84:N84"/>
    <mergeCell ref="J85:K85"/>
    <mergeCell ref="L85:N85"/>
    <mergeCell ref="L86:N86"/>
    <mergeCell ref="L87:N87"/>
    <mergeCell ref="L88:N88"/>
    <mergeCell ref="L89:N89"/>
    <mergeCell ref="L90:N90"/>
    <mergeCell ref="L91:N91"/>
    <mergeCell ref="J92:K92"/>
    <mergeCell ref="L92:N92"/>
    <mergeCell ref="J93:K93"/>
    <mergeCell ref="L93:N93"/>
    <mergeCell ref="J94:K94"/>
    <mergeCell ref="L94:N94"/>
    <mergeCell ref="J95:K95"/>
    <mergeCell ref="L95:N95"/>
    <mergeCell ref="J96:K96"/>
    <mergeCell ref="L96:N96"/>
    <mergeCell ref="J97:K97"/>
    <mergeCell ref="L97:N97"/>
    <mergeCell ref="J98:K98"/>
    <mergeCell ref="L98:N98"/>
    <mergeCell ref="L99:N99"/>
    <mergeCell ref="L100:N100"/>
    <mergeCell ref="J101:K101"/>
    <mergeCell ref="L101:N101"/>
    <mergeCell ref="J102:K102"/>
    <mergeCell ref="L102:N102"/>
    <mergeCell ref="J103:K103"/>
    <mergeCell ref="L103:N103"/>
    <mergeCell ref="J104:K104"/>
    <mergeCell ref="L104:N104"/>
    <mergeCell ref="J105:K105"/>
    <mergeCell ref="L105:N105"/>
    <mergeCell ref="J106:K106"/>
    <mergeCell ref="L106:N106"/>
    <mergeCell ref="J107:K107"/>
    <mergeCell ref="L107:N107"/>
    <mergeCell ref="J108:K108"/>
    <mergeCell ref="L108:N108"/>
    <mergeCell ref="J109:K109"/>
    <mergeCell ref="L109:N109"/>
    <mergeCell ref="J110:K110"/>
    <mergeCell ref="L110:N110"/>
    <mergeCell ref="J111:K111"/>
    <mergeCell ref="L111:N111"/>
    <mergeCell ref="J112:K112"/>
    <mergeCell ref="L112:N112"/>
    <mergeCell ref="J113:K113"/>
    <mergeCell ref="L113:N113"/>
    <mergeCell ref="J114:K114"/>
    <mergeCell ref="L114:N114"/>
    <mergeCell ref="J115:K115"/>
    <mergeCell ref="L115:N115"/>
    <mergeCell ref="J116:K116"/>
    <mergeCell ref="L116:N116"/>
  </mergeCells>
  <dataValidations count="5">
    <dataValidation allowBlank="true" errorStyle="stop" operator="between" showDropDown="false" showErrorMessage="true" showInputMessage="false" sqref="L17:N103" type="list">
      <formula1>CARACTERIZACION</formula1>
      <formula2>0</formula2>
    </dataValidation>
    <dataValidation allowBlank="true" errorStyle="stop" operator="between" showDropDown="false" showErrorMessage="true" showInputMessage="false" sqref="D17:D103" type="list">
      <formula1>DOCUMENTO</formula1>
      <formula2>0</formula2>
    </dataValidation>
    <dataValidation allowBlank="true" errorStyle="stop" operator="between" showDropDown="false" showErrorMessage="true" showInputMessage="false" sqref="F48:F103" type="list">
      <formula1>ROL</formula1>
      <formula2>0</formula2>
    </dataValidation>
    <dataValidation allowBlank="true" errorStyle="stop" operator="between" showDropDown="false" showErrorMessage="true" showInputMessage="false" sqref="I17:I116" type="list">
      <formula1>GENERO</formula1>
      <formula2>0</formula2>
    </dataValidation>
    <dataValidation allowBlank="true" errorStyle="stop" operator="between" showDropDown="false" showErrorMessage="true" showInputMessage="false" sqref="H17:H116" type="list">
      <formula1>"Gestión y Administración,Transparencia y Responsabilidad,Gestión de recursos: Relaciones con miembros y la comunidad,Cumplimiento Legal"</formula1>
      <formula2>0</formula2>
    </dataValidation>
  </dataValidations>
  <printOptions headings="false" gridLines="false" gridLinesSet="true" horizontalCentered="false" verticalCentered="false"/>
  <pageMargins left="0" right="0" top="0.157638888888889" bottom="0" header="0.511811023622047" footer="0.511811023622047"/>
  <pageSetup paperSize="1" scale="4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B2:M2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C6" activeCellId="0" sqref="C6"/>
    </sheetView>
  </sheetViews>
  <sheetFormatPr defaultColWidth="11.421875" defaultRowHeight="16.5" zeroHeight="false" outlineLevelRow="0" outlineLevelCol="0"/>
  <cols>
    <col collapsed="false" customWidth="true" hidden="false" outlineLevel="0" max="1" min="1" style="335" width="4.99"/>
    <col collapsed="false" customWidth="true" hidden="false" outlineLevel="0" max="2" min="2" style="335" width="41.42"/>
    <col collapsed="false" customWidth="true" hidden="false" outlineLevel="0" max="3" min="3" style="335" width="23.14"/>
    <col collapsed="false" customWidth="true" hidden="false" outlineLevel="0" max="8" min="4" style="335" width="28.85"/>
    <col collapsed="false" customWidth="true" hidden="false" outlineLevel="0" max="9" min="9" style="335" width="17.42"/>
    <col collapsed="false" customWidth="false" hidden="false" outlineLevel="0" max="10" min="10" style="335" width="11.42"/>
    <col collapsed="false" customWidth="true" hidden="false" outlineLevel="0" max="11" min="11" style="335" width="19.14"/>
    <col collapsed="false" customWidth="false" hidden="false" outlineLevel="0" max="257" min="12" style="335" width="11.42"/>
  </cols>
  <sheetData>
    <row r="2" customFormat="false" ht="29.25" hidden="false" customHeight="true" outlineLevel="0" collapsed="false"/>
    <row r="3" customFormat="false" ht="21" hidden="false" customHeight="true" outlineLevel="0" collapsed="false"/>
    <row r="4" customFormat="false" ht="53.25" hidden="false" customHeight="true" outlineLevel="0" collapsed="false">
      <c r="B4" s="365"/>
      <c r="C4" s="365"/>
      <c r="D4" s="365"/>
      <c r="E4" s="365"/>
      <c r="F4" s="365"/>
      <c r="G4" s="365"/>
    </row>
    <row r="5" customFormat="false" ht="27" hidden="false" customHeight="true" outlineLevel="0" collapsed="false">
      <c r="B5" s="366" t="s">
        <v>2131</v>
      </c>
      <c r="C5" s="367" t="n">
        <f aca="false">+Proyecto!AE480</f>
        <v>75115200</v>
      </c>
      <c r="D5" s="365"/>
      <c r="E5" s="365"/>
      <c r="F5" s="365"/>
      <c r="G5" s="365"/>
      <c r="H5" s="368"/>
      <c r="I5" s="368"/>
      <c r="J5" s="368"/>
      <c r="K5" s="368"/>
      <c r="L5" s="368"/>
      <c r="M5" s="368"/>
    </row>
    <row r="6" customFormat="false" ht="27" hidden="false" customHeight="true" outlineLevel="0" collapsed="false">
      <c r="B6" s="369" t="s">
        <v>2132</v>
      </c>
      <c r="C6" s="370"/>
      <c r="D6" s="371" t="s">
        <v>2133</v>
      </c>
      <c r="E6" s="365"/>
      <c r="F6" s="365"/>
      <c r="G6" s="365"/>
    </row>
    <row r="7" s="336" customFormat="true" ht="15.75" hidden="false" customHeight="true" outlineLevel="0" collapsed="false">
      <c r="B7" s="372"/>
      <c r="C7" s="373"/>
      <c r="D7" s="371"/>
      <c r="E7" s="371"/>
      <c r="F7" s="371"/>
      <c r="G7" s="371"/>
    </row>
    <row r="8" s="336" customFormat="true" ht="27" hidden="false" customHeight="true" outlineLevel="0" collapsed="false">
      <c r="B8" s="374" t="str">
        <f aca="false">+Proyecto!M28</f>
        <v>Individual</v>
      </c>
      <c r="C8" s="375"/>
      <c r="D8" s="376"/>
      <c r="E8" s="371"/>
      <c r="F8" s="371"/>
      <c r="G8" s="371"/>
    </row>
    <row r="9" customFormat="false" ht="28.5" hidden="false" customHeight="true" outlineLevel="0" collapsed="false">
      <c r="B9" s="377" t="s">
        <v>2134</v>
      </c>
      <c r="C9" s="377"/>
      <c r="D9" s="378" t="s">
        <v>1840</v>
      </c>
      <c r="E9" s="378" t="s">
        <v>1841</v>
      </c>
      <c r="F9" s="378" t="s">
        <v>1842</v>
      </c>
      <c r="G9" s="378" t="s">
        <v>1843</v>
      </c>
      <c r="H9" s="378" t="s">
        <v>1844</v>
      </c>
    </row>
    <row r="10" customFormat="false" ht="18.75" hidden="false" customHeight="false" outlineLevel="0" collapsed="false">
      <c r="B10" s="379" t="s">
        <v>1878</v>
      </c>
      <c r="C10" s="380"/>
      <c r="D10" s="381" t="n">
        <f aca="false">+Proyecto!K280+Proyecto!K298+Proyecto!K316</f>
        <v>63000000</v>
      </c>
      <c r="E10" s="381" t="n">
        <f aca="false">+Proyecto!W280+Proyecto!W298+Proyecto!W316</f>
        <v>161700000</v>
      </c>
      <c r="F10" s="381" t="n">
        <f aca="false">+Proyecto!AI280+Proyecto!AI298+Proyecto!AI316</f>
        <v>254100000</v>
      </c>
      <c r="G10" s="381" t="n">
        <f aca="false">+Proyecto!AU280+Proyecto!AU298+Proyecto!AU316</f>
        <v>335412000</v>
      </c>
      <c r="H10" s="381" t="n">
        <f aca="false">+Proyecto!BG280+Proyecto!BG298+Proyecto!BG316</f>
        <v>450942800</v>
      </c>
    </row>
    <row r="11" customFormat="false" ht="18.75" hidden="false" customHeight="false" outlineLevel="0" collapsed="false">
      <c r="B11" s="379" t="s">
        <v>1871</v>
      </c>
      <c r="C11" s="380"/>
      <c r="D11" s="381" t="n">
        <f aca="false">+(Proyecto!G280*Proyecto!AE347)+(Proyecto!AE356*Proyecto!G298)+(Proyecto!G316*Proyecto!AE365)</f>
        <v>15300000</v>
      </c>
      <c r="E11" s="381" t="n">
        <f aca="false">((Proyecto!S280)*(Proyecto!AE347*(1+Proyecto!F251)))+(Proyecto!S298*(Proyecto!AE356*(1+Proyecto!F251)))+(Proyecto!S316*(Proyecto!AE365*(1+Proyecto!F251)))</f>
        <v>39270000</v>
      </c>
      <c r="F11" s="381" t="n">
        <f aca="false">+(Proyecto!AE280*(Proyecto!AE347*(1+Proyecto!F251+Proyecto!I251)))+(Proyecto!AE298*(Proyecto!AE356*(1+Proyecto!F251+Proyecto!I251)))+(Proyecto!AE316*(Proyecto!AE365*(1+Proyecto!F251+Proyecto!I251)))</f>
        <v>61200000</v>
      </c>
      <c r="G11" s="381" t="n">
        <f aca="false">+(Proyecto!AQ280*(Proyecto!AE347*(1+Proyecto!F251+Proyecto!I251+Proyecto!L251)))+(Proyecto!AQ298*(Proyecto!AE356*(1+Proyecto!F251+Proyecto!I251+Proyecto!L251)))+(Proyecto!AQ316*(Proyecto!AE365*(1+Proyecto!F251+Proyecto!I251+Proyecto!L251)))</f>
        <v>79560000</v>
      </c>
      <c r="H11" s="381" t="n">
        <f aca="false">+(Proyecto!BC280*(Proyecto!AE347*(1+Proyecto!F251+Proyecto!I251+Proyecto!L251+Proyecto!O251)))+(Proyecto!BC298*(Proyecto!AE356*(1+Proyecto!F251+Proyecto!I251+Proyecto!L251+Proyecto!O251)))+(Proyecto!BC316*(Proyecto!AE365*(1+Proyecto!F251+Proyecto!I251+Proyecto!L251+Proyecto!O251)))</f>
        <v>104720000</v>
      </c>
    </row>
    <row r="12" customFormat="false" ht="18.75" hidden="false" customHeight="false" outlineLevel="0" collapsed="false">
      <c r="B12" s="379" t="s">
        <v>2135</v>
      </c>
      <c r="C12" s="380"/>
      <c r="D12" s="381" t="n">
        <f aca="false">+(Proyecto!AK414*Proyecto!AP414)+(Proyecto!AK415*Proyecto!AP415)+(Proyecto!AK416*Proyecto!AP416)+(Proyecto!AK417*Proyecto!AP417)+(Proyecto!AK418*Proyecto!AP418)+(Proyecto!AK419*Proyecto!AP419)+(Proyecto!AK420*Proyecto!AP420)+(Proyecto!AK421*Proyecto!AP421)+(Proyecto!AK422*Proyecto!AP422)+(Proyecto!AK423*Proyecto!AP423)</f>
        <v>29251200</v>
      </c>
      <c r="E12" s="381" t="n">
        <f aca="false">+(Proyecto!AK424*(1+Proyecto!F251))*12</f>
        <v>84648960</v>
      </c>
      <c r="F12" s="381" t="n">
        <f aca="false">+E12*(1+Proyecto!I251)</f>
        <v>93113856</v>
      </c>
      <c r="G12" s="381" t="n">
        <f aca="false">+F12*(1+Proyecto!L251)</f>
        <v>102425241.6</v>
      </c>
      <c r="H12" s="381" t="n">
        <f aca="false">+G12*(1+Proyecto!O251)</f>
        <v>112667765.76</v>
      </c>
    </row>
    <row r="13" customFormat="false" ht="18.75" hidden="false" customHeight="false" outlineLevel="0" collapsed="false">
      <c r="B13" s="379" t="s">
        <v>2136</v>
      </c>
      <c r="C13" s="380"/>
      <c r="D13" s="381" t="n">
        <f aca="false">+Proyecto!AE332</f>
        <v>9600000</v>
      </c>
      <c r="E13" s="381" t="n">
        <f aca="false">+D13*(1+Proyecto!F251)</f>
        <v>10560000</v>
      </c>
      <c r="F13" s="381" t="n">
        <f aca="false">+(E13*(1+Proyecto!I251))</f>
        <v>11616000</v>
      </c>
      <c r="G13" s="381" t="n">
        <f aca="false">+(F13*(1+Proyecto!L251))</f>
        <v>12777600</v>
      </c>
      <c r="H13" s="381" t="n">
        <f aca="false">+(G13*(1+Proyecto!O251))</f>
        <v>14055360</v>
      </c>
    </row>
    <row r="14" customFormat="false" ht="18.75" hidden="false" customHeight="false" outlineLevel="0" collapsed="false">
      <c r="B14" s="379" t="s">
        <v>2137</v>
      </c>
      <c r="C14" s="380"/>
      <c r="D14" s="381" t="n">
        <f aca="false">+Proyecto!Z215</f>
        <v>800000</v>
      </c>
      <c r="E14" s="381"/>
      <c r="F14" s="381"/>
      <c r="G14" s="381"/>
      <c r="H14" s="381"/>
    </row>
    <row r="15" customFormat="false" ht="18" hidden="false" customHeight="false" outlineLevel="0" collapsed="false">
      <c r="B15" s="382" t="s">
        <v>2138</v>
      </c>
      <c r="C15" s="383"/>
      <c r="D15" s="384" t="n">
        <f aca="false">+D10-D11-D13-D12-D14</f>
        <v>8048800</v>
      </c>
      <c r="E15" s="384" t="n">
        <f aca="false">+E10-E11-E13-E12-E14</f>
        <v>27221040</v>
      </c>
      <c r="F15" s="384" t="n">
        <f aca="false">+F10-F11-F13-F12-F14</f>
        <v>88170144</v>
      </c>
      <c r="G15" s="384" t="n">
        <f aca="false">+G10-G11-G13-G12-G14</f>
        <v>140649158.4</v>
      </c>
      <c r="H15" s="384" t="n">
        <f aca="false">+H10-H11-H13-H12-H14</f>
        <v>219499674.24</v>
      </c>
    </row>
    <row r="16" customFormat="false" ht="18.75" hidden="false" customHeight="false" outlineLevel="0" collapsed="false">
      <c r="B16" s="379" t="s">
        <v>2139</v>
      </c>
      <c r="C16" s="380"/>
      <c r="D16" s="381" t="n">
        <f aca="false">+Proyecto!Y392</f>
        <v>7200000</v>
      </c>
      <c r="E16" s="381" t="n">
        <f aca="false">+Proyecto!AE392</f>
        <v>7920000</v>
      </c>
      <c r="F16" s="381" t="n">
        <f aca="false">+Proyecto!AK392</f>
        <v>8712000</v>
      </c>
      <c r="G16" s="381" t="n">
        <f aca="false">+Proyecto!AQ392</f>
        <v>9583200</v>
      </c>
      <c r="H16" s="381" t="n">
        <f aca="false">+Proyecto!AW392</f>
        <v>10541520</v>
      </c>
    </row>
    <row r="17" customFormat="false" ht="18" hidden="false" customHeight="false" outlineLevel="0" collapsed="false">
      <c r="B17" s="385" t="s">
        <v>2140</v>
      </c>
      <c r="C17" s="386"/>
      <c r="D17" s="384" t="n">
        <f aca="false">+D15-D16</f>
        <v>848800</v>
      </c>
      <c r="E17" s="384" t="n">
        <f aca="false">+E15-E16</f>
        <v>19301040</v>
      </c>
      <c r="F17" s="384" t="n">
        <f aca="false">+F15-F16</f>
        <v>79458144</v>
      </c>
      <c r="G17" s="384" t="n">
        <f aca="false">+G15-G16</f>
        <v>131065958.4</v>
      </c>
      <c r="H17" s="384" t="n">
        <f aca="false">+H15-H16</f>
        <v>208958154.24</v>
      </c>
    </row>
    <row r="18" customFormat="false" ht="18.75" hidden="false" customHeight="false" outlineLevel="0" collapsed="false">
      <c r="B18" s="379" t="s">
        <v>2141</v>
      </c>
      <c r="C18" s="380"/>
      <c r="D18" s="381" t="n">
        <f aca="false">+IF($B$8="Asociativo",(D17*0.33),0)</f>
        <v>0</v>
      </c>
      <c r="E18" s="381" t="n">
        <f aca="false">+IF($B$8="Asociativo",(E17*0.33),0)</f>
        <v>0</v>
      </c>
      <c r="F18" s="381" t="n">
        <f aca="false">+IF($B$8="Asociativo",(F17*0.33),0)</f>
        <v>0</v>
      </c>
      <c r="G18" s="381" t="n">
        <f aca="false">+IF($B$8="Asociativo",(G17*0.33),0)</f>
        <v>0</v>
      </c>
      <c r="H18" s="381" t="n">
        <f aca="false">+IF($B$8="Asociativo",(H17*0.33),0)</f>
        <v>0</v>
      </c>
    </row>
    <row r="19" customFormat="false" ht="18" hidden="false" customHeight="false" outlineLevel="0" collapsed="false">
      <c r="B19" s="385" t="s">
        <v>2142</v>
      </c>
      <c r="C19" s="386"/>
      <c r="D19" s="384" t="n">
        <f aca="false">+D17-D18</f>
        <v>848800</v>
      </c>
      <c r="E19" s="384" t="n">
        <f aca="false">+E17-E18</f>
        <v>19301040</v>
      </c>
      <c r="F19" s="384" t="n">
        <f aca="false">+F17-F18</f>
        <v>79458144</v>
      </c>
      <c r="G19" s="384" t="n">
        <f aca="false">+G17-G18</f>
        <v>131065958.4</v>
      </c>
      <c r="H19" s="384" t="n">
        <f aca="false">+H17-H18</f>
        <v>208958154.24</v>
      </c>
    </row>
    <row r="20" customFormat="false" ht="15.75" hidden="false" customHeight="true" outlineLevel="0" collapsed="false">
      <c r="B20" s="336"/>
      <c r="D20" s="387"/>
      <c r="E20" s="387"/>
      <c r="F20" s="387"/>
    </row>
    <row r="21" customFormat="false" ht="15.75" hidden="false" customHeight="true" outlineLevel="0" collapsed="false">
      <c r="B21" s="336" t="s">
        <v>2143</v>
      </c>
      <c r="D21" s="387"/>
      <c r="E21" s="387"/>
      <c r="F21" s="387"/>
    </row>
    <row r="22" customFormat="false" ht="15.75" hidden="false" customHeight="true" outlineLevel="0" collapsed="false">
      <c r="D22" s="387"/>
      <c r="E22" s="387"/>
      <c r="F22" s="387"/>
    </row>
    <row r="23" customFormat="false" ht="18" hidden="false" customHeight="false" outlineLevel="0" collapsed="false">
      <c r="B23" s="388" t="s">
        <v>2144</v>
      </c>
      <c r="C23" s="389"/>
      <c r="D23" s="387"/>
      <c r="E23" s="387"/>
      <c r="F23" s="387"/>
    </row>
    <row r="24" customFormat="false" ht="36" hidden="false" customHeight="false" outlineLevel="0" collapsed="false">
      <c r="B24" s="390" t="s">
        <v>2145</v>
      </c>
      <c r="C24" s="384" t="n">
        <f aca="false">-'Modelo Financiero'!C5</f>
        <v>-75115200</v>
      </c>
      <c r="D24" s="384" t="n">
        <f aca="false">+D17</f>
        <v>848800</v>
      </c>
      <c r="E24" s="384" t="n">
        <f aca="false">+E17</f>
        <v>19301040</v>
      </c>
      <c r="F24" s="384" t="n">
        <f aca="false">+F17</f>
        <v>79458144</v>
      </c>
      <c r="G24" s="384" t="n">
        <f aca="false">+G17</f>
        <v>131065958.4</v>
      </c>
      <c r="H24" s="384" t="n">
        <f aca="false">+H17</f>
        <v>208958154.24</v>
      </c>
    </row>
    <row r="25" customFormat="false" ht="17.25" hidden="false" customHeight="false" outlineLevel="0" collapsed="false">
      <c r="B25" s="391"/>
      <c r="C25" s="391"/>
      <c r="D25" s="392"/>
      <c r="E25" s="392"/>
      <c r="F25" s="392"/>
    </row>
    <row r="26" customFormat="false" ht="18" hidden="false" customHeight="false" outlineLevel="0" collapsed="false">
      <c r="B26" s="388" t="s">
        <v>2146</v>
      </c>
      <c r="C26" s="393" t="s">
        <v>2147</v>
      </c>
      <c r="D26" s="393"/>
      <c r="E26" s="394"/>
    </row>
    <row r="27" customFormat="false" ht="25.5" hidden="false" customHeight="true" outlineLevel="0" collapsed="false">
      <c r="B27" s="395" t="n">
        <f aca="false">+IRR(C24:H24)</f>
        <v>0.554697809360027</v>
      </c>
      <c r="C27" s="396" t="n">
        <f aca="false">NPV(C6,C24:H24)</f>
        <v>364516896.64</v>
      </c>
      <c r="D27" s="396"/>
    </row>
  </sheetData>
  <sheetProtection sheet="true" password="9312"/>
  <protectedRanges>
    <protectedRange name="Rango1" sqref="C6:C8"/>
  </protectedRanges>
  <mergeCells count="3">
    <mergeCell ref="B4:G4"/>
    <mergeCell ref="C26:D26"/>
    <mergeCell ref="C27:D27"/>
  </mergeCells>
  <conditionalFormatting sqref="B27:C27">
    <cfRule type="cellIs" priority="2" operator="greaterThanOrEqual" aboveAverage="0" equalAverage="0" bottom="0" percent="0" rank="0" text="" dxfId="18">
      <formula>0</formula>
    </cfRule>
    <cfRule type="cellIs" priority="3" operator="between" aboveAverage="0" equalAverage="0" bottom="0" percent="0" rank="0" text="" dxfId="19">
      <formula>-1</formula>
      <formula>0</formula>
    </cfRule>
  </conditionalFormatting>
  <printOptions headings="false" gridLines="false" gridLinesSet="true" horizontalCentered="false" verticalCentered="false"/>
  <pageMargins left="0.708333333333333" right="0.708333333333333"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C00"/>
    <pageSetUpPr fitToPage="false"/>
  </sheetPr>
  <dimension ref="A5:T7"/>
  <sheetViews>
    <sheetView showFormulas="false" showGridLines="false" showRowColHeaders="true" showZeros="true" rightToLeft="false" tabSelected="false" showOutlineSymbols="true" defaultGridColor="true" view="normal" topLeftCell="D1" colorId="64" zoomScale="100" zoomScaleNormal="100" zoomScalePageLayoutView="100" workbookViewId="0">
      <selection pane="topLeft" activeCell="F23" activeCellId="0" sqref="F23"/>
    </sheetView>
  </sheetViews>
  <sheetFormatPr defaultColWidth="11.421875" defaultRowHeight="16.5" zeroHeight="false" outlineLevelRow="0" outlineLevelCol="0"/>
  <cols>
    <col collapsed="false" customWidth="true" hidden="false" outlineLevel="0" max="1" min="1" style="26" width="19.28"/>
    <col collapsed="false" customWidth="true" hidden="false" outlineLevel="0" max="2" min="2" style="26" width="23.42"/>
    <col collapsed="false" customWidth="true" hidden="false" outlineLevel="0" max="3" min="3" style="26" width="33.85"/>
    <col collapsed="false" customWidth="true" hidden="false" outlineLevel="0" max="4" min="4" style="26" width="19.42"/>
    <col collapsed="false" customWidth="true" hidden="false" outlineLevel="0" max="5" min="5" style="26" width="22.13"/>
    <col collapsed="false" customWidth="true" hidden="false" outlineLevel="0" max="6" min="6" style="26" width="32.42"/>
    <col collapsed="false" customWidth="true" hidden="false" outlineLevel="0" max="7" min="7" style="26" width="33.42"/>
    <col collapsed="false" customWidth="true" hidden="false" outlineLevel="0" max="8" min="8" style="26" width="30.42"/>
    <col collapsed="false" customWidth="true" hidden="false" outlineLevel="0" max="9" min="9" style="26" width="29.56"/>
    <col collapsed="false" customWidth="true" hidden="false" outlineLevel="0" max="11" min="10" style="26" width="19.42"/>
    <col collapsed="false" customWidth="true" hidden="false" outlineLevel="0" max="12" min="12" style="26" width="20.56"/>
    <col collapsed="false" customWidth="true" hidden="false" outlineLevel="0" max="17" min="13" style="26" width="13.42"/>
    <col collapsed="false" customWidth="true" hidden="false" outlineLevel="0" max="18" min="18" style="26" width="19.42"/>
    <col collapsed="false" customWidth="true" hidden="false" outlineLevel="0" max="19" min="19" style="26" width="13.42"/>
    <col collapsed="false" customWidth="false" hidden="false" outlineLevel="0" max="257" min="20" style="26" width="11.42"/>
  </cols>
  <sheetData>
    <row r="5" customFormat="false" ht="17.25" hidden="false" customHeight="false" outlineLevel="0" collapsed="false"/>
    <row r="6" customFormat="false" ht="45" hidden="false" customHeight="false" outlineLevel="0" collapsed="false">
      <c r="A6" s="397" t="s">
        <v>2148</v>
      </c>
      <c r="B6" s="397" t="s">
        <v>2149</v>
      </c>
      <c r="C6" s="397" t="s">
        <v>2150</v>
      </c>
      <c r="D6" s="397" t="s">
        <v>2151</v>
      </c>
      <c r="E6" s="397" t="s">
        <v>2152</v>
      </c>
      <c r="F6" s="397" t="s">
        <v>2153</v>
      </c>
      <c r="G6" s="397" t="s">
        <v>2154</v>
      </c>
      <c r="H6" s="397" t="s">
        <v>2155</v>
      </c>
      <c r="I6" s="397" t="s">
        <v>2156</v>
      </c>
      <c r="J6" s="397" t="s">
        <v>2157</v>
      </c>
      <c r="K6" s="397" t="s">
        <v>1671</v>
      </c>
      <c r="L6" s="397" t="s">
        <v>2158</v>
      </c>
      <c r="M6" s="397" t="s">
        <v>2159</v>
      </c>
      <c r="N6" s="397" t="s">
        <v>2000</v>
      </c>
      <c r="O6" s="397" t="s">
        <v>2160</v>
      </c>
      <c r="P6" s="397" t="s">
        <v>2161</v>
      </c>
      <c r="Q6" s="397" t="s">
        <v>2162</v>
      </c>
      <c r="R6" s="397" t="s">
        <v>2163</v>
      </c>
      <c r="S6" s="397" t="s">
        <v>2164</v>
      </c>
      <c r="T6" s="397" t="s">
        <v>2146</v>
      </c>
    </row>
    <row r="7" s="403" customFormat="true" ht="37.5" hidden="false" customHeight="true" outlineLevel="0" collapsed="false">
      <c r="A7" s="398" t="s">
        <v>2165</v>
      </c>
      <c r="B7" s="399" t="n">
        <f aca="false">+Proyecto!T8</f>
        <v>0</v>
      </c>
      <c r="C7" s="399" t="n">
        <f aca="false">+Proyecto!T9</f>
        <v>0</v>
      </c>
      <c r="D7" s="399" t="str">
        <f aca="false">Proyecto!T19</f>
        <v>Antioquia</v>
      </c>
      <c r="E7" s="399" t="str">
        <f aca="false">Proyecto!AC19</f>
        <v>Rionegro</v>
      </c>
      <c r="F7" s="400" t="str">
        <f aca="false">Proyecto!B19</f>
        <v>AI4U</v>
      </c>
      <c r="G7" s="400" t="str">
        <f aca="false">Proyecto!L25</f>
        <v>INFORMACIÓN_Y_COMUNICACIONES</v>
      </c>
      <c r="H7" s="400" t="str">
        <f aca="false">Proyecto!Z25</f>
        <v>6209 Otras actividades de tecnologías de información y actividades de servicios informáticos</v>
      </c>
      <c r="I7" s="400" t="str">
        <f aca="false">Proyecto!B15</f>
        <v>Mariano García Posada</v>
      </c>
      <c r="J7" s="399" t="n">
        <f aca="false">Proyecto!AC15</f>
        <v>8026979</v>
      </c>
      <c r="K7" s="399" t="str">
        <f aca="false">+Proyecto!M28</f>
        <v>Individual</v>
      </c>
      <c r="L7" s="401" t="n">
        <f aca="false">Proyecto!AE480</f>
        <v>75115200</v>
      </c>
      <c r="M7" s="400" t="n">
        <f aca="false">Proyecto!AN28</f>
        <v>1</v>
      </c>
      <c r="N7" s="400" t="n">
        <f aca="false">Proyecto!K538</f>
        <v>3</v>
      </c>
      <c r="O7" s="400" t="n">
        <v>0</v>
      </c>
      <c r="P7" s="400" t="n">
        <f aca="false">+N7</f>
        <v>3</v>
      </c>
      <c r="Q7" s="399" t="n">
        <f aca="false">+Proyecto!K539</f>
        <v>1</v>
      </c>
      <c r="R7" s="399" t="n">
        <f aca="false">+Proyecto!K540</f>
        <v>5</v>
      </c>
      <c r="S7" s="399" t="n">
        <f aca="false">+Proyecto!AC426</f>
        <v>2</v>
      </c>
      <c r="T7" s="402" t="n">
        <f aca="false">+'Modelo Financiero'!B27</f>
        <v>0.554697809360027</v>
      </c>
    </row>
  </sheetData>
  <sheetProtection sheet="true" password="931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L4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6" activeCellId="0" sqref="B6"/>
    </sheetView>
  </sheetViews>
  <sheetFormatPr defaultColWidth="10.8515625" defaultRowHeight="16.5" zeroHeight="false" outlineLevelRow="0" outlineLevelCol="0"/>
  <cols>
    <col collapsed="false" customWidth="false" hidden="false" outlineLevel="0" max="3" min="1" style="26" width="10.85"/>
    <col collapsed="false" customWidth="true" hidden="false" outlineLevel="0" max="4" min="4" style="26" width="24.56"/>
    <col collapsed="false" customWidth="false" hidden="false" outlineLevel="0" max="5" min="5" style="26" width="10.85"/>
    <col collapsed="false" customWidth="true" hidden="false" outlineLevel="0" max="6" min="6" style="26" width="49.99"/>
    <col collapsed="false" customWidth="false" hidden="false" outlineLevel="0" max="257" min="7" style="26" width="10.85"/>
  </cols>
  <sheetData>
    <row r="3" customFormat="false" ht="16.5" hidden="false" customHeight="false" outlineLevel="0" collapsed="false">
      <c r="B3" s="26" t="s">
        <v>1641</v>
      </c>
      <c r="C3" s="26" t="s">
        <v>1642</v>
      </c>
      <c r="D3" s="26" t="s">
        <v>1643</v>
      </c>
    </row>
    <row r="4" customFormat="false" ht="16.5" hidden="false" customHeight="false" outlineLevel="0" collapsed="false">
      <c r="B4" s="26" t="s">
        <v>1644</v>
      </c>
      <c r="C4" s="26" t="s">
        <v>1645</v>
      </c>
      <c r="D4" s="26" t="s">
        <v>1646</v>
      </c>
    </row>
    <row r="6" customFormat="false" ht="16.5" hidden="false" customHeight="false" outlineLevel="0" collapsed="false">
      <c r="B6" s="26" t="s">
        <v>1652</v>
      </c>
    </row>
    <row r="7" customFormat="false" ht="16.5" hidden="false" customHeight="false" outlineLevel="0" collapsed="false">
      <c r="B7" s="26" t="s">
        <v>1654</v>
      </c>
      <c r="F7" s="404" t="s">
        <v>1653</v>
      </c>
    </row>
    <row r="8" customFormat="false" ht="16.5" hidden="false" customHeight="false" outlineLevel="0" collapsed="false">
      <c r="B8" s="26" t="s">
        <v>2166</v>
      </c>
      <c r="F8" s="404" t="s">
        <v>1655</v>
      </c>
    </row>
    <row r="9" customFormat="false" ht="16.5" hidden="false" customHeight="false" outlineLevel="0" collapsed="false">
      <c r="B9" s="26" t="s">
        <v>2167</v>
      </c>
      <c r="F9" s="404" t="s">
        <v>1660</v>
      </c>
    </row>
    <row r="10" customFormat="false" ht="16.5" hidden="false" customHeight="false" outlineLevel="0" collapsed="false">
      <c r="F10" s="404" t="s">
        <v>1662</v>
      </c>
    </row>
    <row r="11" customFormat="false" ht="16.5" hidden="false" customHeight="false" outlineLevel="0" collapsed="false">
      <c r="B11" s="26" t="s">
        <v>1663</v>
      </c>
      <c r="F11" s="404" t="s">
        <v>1664</v>
      </c>
    </row>
    <row r="12" customFormat="false" ht="16.5" hidden="false" customHeight="false" outlineLevel="0" collapsed="false">
      <c r="B12" s="26" t="s">
        <v>2168</v>
      </c>
      <c r="F12" s="404" t="s">
        <v>2169</v>
      </c>
    </row>
    <row r="13" customFormat="false" ht="16.5" hidden="false" customHeight="false" outlineLevel="0" collapsed="false">
      <c r="B13" s="26" t="s">
        <v>2124</v>
      </c>
      <c r="F13" s="404" t="s">
        <v>1666</v>
      </c>
    </row>
    <row r="14" customFormat="false" ht="16.5" hidden="false" customHeight="false" outlineLevel="0" collapsed="false">
      <c r="B14" s="26" t="s">
        <v>2125</v>
      </c>
      <c r="F14" s="404" t="s">
        <v>2127</v>
      </c>
    </row>
    <row r="15" customFormat="false" ht="16.5" hidden="false" customHeight="false" outlineLevel="0" collapsed="false">
      <c r="B15" s="26" t="s">
        <v>2126</v>
      </c>
      <c r="F15" s="404" t="s">
        <v>2128</v>
      </c>
    </row>
    <row r="16" customFormat="false" ht="16.5" hidden="false" customHeight="false" outlineLevel="0" collapsed="false">
      <c r="F16" s="404" t="s">
        <v>2129</v>
      </c>
      <c r="H16" s="26" t="n">
        <f aca="false">20*(10000*(1+3.3%))</f>
        <v>206600</v>
      </c>
      <c r="J16" s="26" t="n">
        <v>30</v>
      </c>
      <c r="K16" s="26" t="n">
        <v>10000</v>
      </c>
      <c r="L16" s="26" t="n">
        <f aca="false">+Proyecto!F251+Proyecto!I251</f>
        <v>0.2</v>
      </c>
    </row>
    <row r="17" customFormat="false" ht="16.5" hidden="false" customHeight="false" outlineLevel="0" collapsed="false">
      <c r="F17" s="404" t="s">
        <v>2130</v>
      </c>
      <c r="H17" s="26" t="n">
        <f aca="false">10*(20000*(1+3.3%))</f>
        <v>206600</v>
      </c>
      <c r="J17" s="26" t="n">
        <v>15</v>
      </c>
      <c r="K17" s="26" t="n">
        <v>20000</v>
      </c>
      <c r="L17" s="26" t="n">
        <f aca="false">+L16</f>
        <v>0.2</v>
      </c>
    </row>
    <row r="18" customFormat="false" ht="16.5" hidden="false" customHeight="false" outlineLevel="0" collapsed="false">
      <c r="B18" s="26" t="s">
        <v>1675</v>
      </c>
      <c r="F18" s="404" t="s">
        <v>2120</v>
      </c>
      <c r="H18" s="26" t="n">
        <f aca="false">40*(1000*(1+3.3%))</f>
        <v>41320</v>
      </c>
      <c r="J18" s="26" t="n">
        <v>60</v>
      </c>
      <c r="K18" s="26" t="n">
        <v>1000</v>
      </c>
      <c r="L18" s="26" t="n">
        <f aca="false">+L16</f>
        <v>0.2</v>
      </c>
    </row>
    <row r="19" customFormat="false" ht="16.5" hidden="false" customHeight="false" outlineLevel="0" collapsed="false">
      <c r="B19" s="26" t="s">
        <v>1678</v>
      </c>
      <c r="F19" s="404" t="s">
        <v>1674</v>
      </c>
      <c r="H19" s="26" t="n">
        <f aca="false">+H16+H17+H18</f>
        <v>454520</v>
      </c>
    </row>
    <row r="20" customFormat="false" ht="16.5" hidden="false" customHeight="false" outlineLevel="0" collapsed="false">
      <c r="B20" s="26" t="s">
        <v>1683</v>
      </c>
      <c r="F20" s="404" t="s">
        <v>1676</v>
      </c>
      <c r="J20" s="26" t="n">
        <f aca="false">+(J16*(K16*(1+L16)))</f>
        <v>360000</v>
      </c>
    </row>
    <row r="21" customFormat="false" ht="16.5" hidden="false" customHeight="false" outlineLevel="0" collapsed="false">
      <c r="B21" s="26" t="s">
        <v>1686</v>
      </c>
      <c r="F21" s="404" t="s">
        <v>1679</v>
      </c>
      <c r="J21" s="26" t="n">
        <f aca="false">+(J17*(K17*(1+L17)))</f>
        <v>360000</v>
      </c>
    </row>
    <row r="22" customFormat="false" ht="16.5" hidden="false" customHeight="false" outlineLevel="0" collapsed="false">
      <c r="B22" s="26" t="s">
        <v>1680</v>
      </c>
      <c r="F22" s="404" t="s">
        <v>1681</v>
      </c>
      <c r="J22" s="26" t="n">
        <f aca="false">+(J18*(K18*(1+L18)))</f>
        <v>72000</v>
      </c>
    </row>
    <row r="23" customFormat="false" ht="16.5" hidden="false" customHeight="false" outlineLevel="0" collapsed="false">
      <c r="F23" s="404" t="s">
        <v>1684</v>
      </c>
      <c r="J23" s="26" t="n">
        <f aca="false">+J20+J21+J22</f>
        <v>792000</v>
      </c>
    </row>
    <row r="24" customFormat="false" ht="16.5" hidden="false" customHeight="false" outlineLevel="0" collapsed="false">
      <c r="B24" s="26" t="n">
        <v>1</v>
      </c>
      <c r="F24" s="404" t="s">
        <v>1687</v>
      </c>
    </row>
    <row r="25" customFormat="false" ht="16.5" hidden="false" customHeight="false" outlineLevel="0" collapsed="false">
      <c r="B25" s="26" t="n">
        <v>2</v>
      </c>
      <c r="F25" s="404" t="s">
        <v>1688</v>
      </c>
    </row>
    <row r="26" customFormat="false" ht="16.5" hidden="false" customHeight="false" outlineLevel="0" collapsed="false">
      <c r="B26" s="26" t="n">
        <v>3</v>
      </c>
      <c r="F26" s="404" t="s">
        <v>1689</v>
      </c>
      <c r="J26" s="26" t="n">
        <f aca="false">5*12</f>
        <v>60</v>
      </c>
    </row>
    <row r="27" customFormat="false" ht="16.5" hidden="false" customHeight="false" outlineLevel="0" collapsed="false">
      <c r="B27" s="26" t="n">
        <v>4</v>
      </c>
      <c r="F27" s="404" t="s">
        <v>1690</v>
      </c>
      <c r="J27" s="26" t="n">
        <f aca="false">+J26*(1+3.33%)</f>
        <v>61.998</v>
      </c>
    </row>
    <row r="28" customFormat="false" ht="16.5" hidden="false" customHeight="false" outlineLevel="0" collapsed="false">
      <c r="B28" s="26" t="n">
        <v>5</v>
      </c>
      <c r="D28" s="26" t="s">
        <v>1678</v>
      </c>
      <c r="F28" s="404" t="s">
        <v>1691</v>
      </c>
    </row>
    <row r="29" customFormat="false" ht="16.5" hidden="false" customHeight="false" outlineLevel="0" collapsed="false">
      <c r="B29" s="26" t="n">
        <v>6</v>
      </c>
      <c r="D29" s="26" t="s">
        <v>1680</v>
      </c>
      <c r="F29" s="404" t="s">
        <v>1692</v>
      </c>
    </row>
    <row r="30" customFormat="false" ht="16.5" hidden="false" customHeight="false" outlineLevel="0" collapsed="false">
      <c r="B30" s="26" t="n">
        <v>7</v>
      </c>
      <c r="D30" s="26" t="s">
        <v>1683</v>
      </c>
      <c r="F30" s="404" t="s">
        <v>1693</v>
      </c>
    </row>
    <row r="31" customFormat="false" ht="16.5" hidden="false" customHeight="false" outlineLevel="0" collapsed="false">
      <c r="B31" s="26" t="n">
        <v>8</v>
      </c>
      <c r="D31" s="26" t="s">
        <v>1686</v>
      </c>
      <c r="F31" s="404" t="s">
        <v>1694</v>
      </c>
    </row>
    <row r="32" customFormat="false" ht="16.5" hidden="false" customHeight="false" outlineLevel="0" collapsed="false">
      <c r="B32" s="26" t="n">
        <v>9</v>
      </c>
      <c r="F32" s="404" t="s">
        <v>1695</v>
      </c>
    </row>
    <row r="33" customFormat="false" ht="16.5" hidden="false" customHeight="false" outlineLevel="0" collapsed="false">
      <c r="B33" s="26" t="n">
        <v>10</v>
      </c>
      <c r="F33" s="404" t="s">
        <v>1696</v>
      </c>
    </row>
    <row r="34" customFormat="false" ht="16.5" hidden="false" customHeight="false" outlineLevel="0" collapsed="false">
      <c r="B34" s="26" t="n">
        <v>11</v>
      </c>
      <c r="F34" s="404" t="s">
        <v>1697</v>
      </c>
    </row>
    <row r="35" customFormat="false" ht="16.5" hidden="false" customHeight="false" outlineLevel="0" collapsed="false">
      <c r="B35" s="26" t="n">
        <v>12</v>
      </c>
    </row>
    <row r="37" customFormat="false" ht="16.5" hidden="false" customHeight="false" outlineLevel="0" collapsed="false">
      <c r="F37" s="405" t="n">
        <v>50000000</v>
      </c>
    </row>
    <row r="38" customFormat="false" ht="16.5" hidden="false" customHeight="false" outlineLevel="0" collapsed="false">
      <c r="F38" s="405" t="n">
        <v>50700000</v>
      </c>
    </row>
    <row r="39" customFormat="false" ht="16.5" hidden="false" customHeight="false" outlineLevel="0" collapsed="false">
      <c r="F39" s="405" t="n">
        <v>59000000</v>
      </c>
    </row>
    <row r="40" customFormat="false" ht="16.5" hidden="false" customHeight="false" outlineLevel="0" collapsed="false">
      <c r="F40" s="405" t="n">
        <v>60000000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2024-05-21T10:09:17Z</dcterms:created>
  <dc:creator>Maria Dimelza Del Rosario Rodriguez</dc:creator>
  <dc:description/>
  <dc:language>es-ES</dc:language>
  <cp:lastModifiedBy/>
  <cp:lastPrinted>2026-03-06T09:52:33Z</cp:lastPrinted>
  <dcterms:modified xsi:type="dcterms:W3CDTF">2026-03-30T16:31:20Z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0x010100ABBD7343187EAD408C415224275C2FF0_x0000__x0000__x0000_</vt:lpwstr>
  </property>
  <property fmtid="{D5CDD505-2E9C-101B-9397-08002B2CF9AE}" pid="3" name="_activity">
    <vt:lpwstr>_x0000__x0000__x0000_</vt:lpwstr>
  </property>
  <property fmtid="{D5CDD505-2E9C-101B-9397-08002B2CF9AE}" pid="4" name="_ip_UnifiedCompliancePolicyProperties">
    <vt:lpwstr>_x0000__x0000__x0000_</vt:lpwstr>
  </property>
  <property fmtid="{D5CDD505-2E9C-101B-9397-08002B2CF9AE}" pid="5" name="_ip_UnifiedCompliancePolicyUIAction">
    <vt:lpwstr>_x0000__x0000__x0000_</vt:lpwstr>
  </property>
</Properties>
</file>